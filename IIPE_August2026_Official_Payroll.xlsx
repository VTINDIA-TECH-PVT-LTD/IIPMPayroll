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ccountant\EMPLOYEES\SALARIES\2026-27\Aug'26\"/>
    </mc:Choice>
  </mc:AlternateContent>
  <xr:revisionPtr revIDLastSave="0" documentId="13_ncr:1_{CDCD1AB7-4592-4AC8-9F60-4F3B30F77E82}" xr6:coauthVersionLast="36" xr6:coauthVersionMax="36" xr10:uidLastSave="{00000000-0000-0000-0000-000000000000}"/>
  <bookViews>
    <workbookView xWindow="0" yWindow="0" windowWidth="28800" windowHeight="12225" activeTab="7" xr2:uid="{00000000-000D-0000-FFFF-FFFF00000000}"/>
  </bookViews>
  <sheets>
    <sheet name="Contract" sheetId="2" r:id="rId1"/>
    <sheet name="TDS" sheetId="3" state="hidden" r:id="rId2"/>
    <sheet name="Loan recovery " sheetId="4" state="hidden" r:id="rId3"/>
    <sheet name="Arrears on promotion " sheetId="27" state="hidden" r:id="rId4"/>
    <sheet name="Faculty " sheetId="6" r:id="rId5"/>
    <sheet name="Arrears " sheetId="28" state="hidden" r:id="rId6"/>
    <sheet name="Staff" sheetId="8" r:id="rId7"/>
    <sheet name="Director salary" sheetId="21" r:id="rId8"/>
    <sheet name="Arrears" sheetId="36" state="hidden" r:id="rId9"/>
    <sheet name="PV Narayana Rao" sheetId="34" state="hidden" r:id="rId10"/>
    <sheet name="SE Salary " sheetId="30" state="hidden" r:id="rId11"/>
    <sheet name="Staff (2)" sheetId="22" state="hidden" r:id="rId12"/>
    <sheet name="NPS rough " sheetId="23" state="hidden" r:id="rId13"/>
    <sheet name="NPS rough  (2)" sheetId="24" state="hidden" r:id="rId14"/>
  </sheets>
  <definedNames>
    <definedName name="_xlnm.Print_Area" localSheetId="0">Contract!$A$3:$N$12</definedName>
    <definedName name="_xlnm.Print_Area" localSheetId="7">'Director salary'!$A$2:$B$50</definedName>
    <definedName name="_xlnm.Print_Area" localSheetId="4">'Faculty '!$B$1:$T$38</definedName>
    <definedName name="_xlnm.Print_Area" localSheetId="6">Staff!$B$1:$S$25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8" l="1"/>
  <c r="O27" i="8"/>
  <c r="O26" i="8"/>
  <c r="N26" i="8"/>
  <c r="D28" i="2" l="1"/>
  <c r="L25" i="8" l="1"/>
  <c r="G17" i="2" l="1"/>
  <c r="G36" i="8"/>
  <c r="B33" i="21" s="1"/>
  <c r="G50" i="6"/>
  <c r="D23" i="2" l="1"/>
  <c r="H11" i="8" l="1"/>
  <c r="K23" i="2"/>
  <c r="J23" i="2"/>
  <c r="I23" i="2"/>
  <c r="H23" i="2"/>
  <c r="G23" i="2"/>
  <c r="L22" i="2"/>
  <c r="M22" i="2" s="1"/>
  <c r="G22" i="2"/>
  <c r="I8" i="8"/>
  <c r="H8" i="8"/>
  <c r="G8" i="8"/>
  <c r="N8" i="8" s="1"/>
  <c r="I7" i="8"/>
  <c r="G7" i="8"/>
  <c r="G21" i="2"/>
  <c r="G20" i="2"/>
  <c r="G19" i="2"/>
  <c r="G18" i="2"/>
  <c r="G16" i="2"/>
  <c r="F10" i="2"/>
  <c r="F9" i="2"/>
  <c r="F8" i="2"/>
  <c r="F7" i="2"/>
  <c r="F6" i="2"/>
  <c r="F5" i="2"/>
  <c r="J8" i="8" l="1"/>
  <c r="O8" i="8" s="1"/>
  <c r="R8" i="8" s="1"/>
  <c r="F25" i="8"/>
  <c r="H13" i="8"/>
  <c r="H12" i="8"/>
  <c r="I13" i="8"/>
  <c r="G13" i="8"/>
  <c r="N13" i="8" s="1"/>
  <c r="K8" i="8" l="1"/>
  <c r="S8" i="8" s="1"/>
  <c r="J13" i="8"/>
  <c r="O13" i="8" s="1"/>
  <c r="R13" i="8" s="1"/>
  <c r="K13" i="8"/>
  <c r="S13" i="8" l="1"/>
  <c r="H62" i="8"/>
  <c r="F62" i="8"/>
  <c r="I62" i="8" s="1"/>
  <c r="I12" i="8" l="1"/>
  <c r="G12" i="8"/>
  <c r="N12" i="8" s="1"/>
  <c r="G62" i="8"/>
  <c r="N62" i="8" s="1"/>
  <c r="J62" i="8" l="1"/>
  <c r="O62" i="8" s="1"/>
  <c r="R62" i="8" s="1"/>
  <c r="J12" i="8"/>
  <c r="K62" i="8" l="1"/>
  <c r="S62" i="8" s="1"/>
  <c r="O12" i="8"/>
  <c r="R12" i="8" s="1"/>
  <c r="K12" i="8"/>
  <c r="S12" i="8" s="1"/>
  <c r="B5" i="21"/>
  <c r="H24" i="8"/>
  <c r="H23" i="8"/>
  <c r="H22" i="8"/>
  <c r="H21" i="8"/>
  <c r="H20" i="8"/>
  <c r="H19" i="8"/>
  <c r="H18" i="8"/>
  <c r="H17" i="8"/>
  <c r="H16" i="8"/>
  <c r="H15" i="8"/>
  <c r="H14" i="8"/>
  <c r="H10" i="8"/>
  <c r="H9" i="8"/>
  <c r="H7" i="8"/>
  <c r="H6" i="8"/>
  <c r="G24" i="8"/>
  <c r="G23" i="8"/>
  <c r="G22" i="8"/>
  <c r="G21" i="8"/>
  <c r="G20" i="8"/>
  <c r="G19" i="8"/>
  <c r="G18" i="8"/>
  <c r="G17" i="8"/>
  <c r="G16" i="8"/>
  <c r="J16" i="8" s="1"/>
  <c r="G15" i="8"/>
  <c r="G14" i="8"/>
  <c r="G11" i="8"/>
  <c r="G10" i="8"/>
  <c r="G9" i="8"/>
  <c r="G6" i="8"/>
  <c r="G5" i="8"/>
  <c r="G36" i="6"/>
  <c r="G34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H37" i="6"/>
  <c r="H36" i="6"/>
  <c r="H35" i="6"/>
  <c r="H34" i="6"/>
  <c r="H33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O24" i="6" l="1"/>
  <c r="I24" i="6"/>
  <c r="O23" i="6"/>
  <c r="K23" i="6"/>
  <c r="P23" i="6" s="1"/>
  <c r="I23" i="6"/>
  <c r="L23" i="6" l="1"/>
  <c r="S23" i="6"/>
  <c r="K24" i="6"/>
  <c r="P24" i="6" s="1"/>
  <c r="S24" i="6" s="1"/>
  <c r="T23" i="6" l="1"/>
  <c r="L24" i="6"/>
  <c r="T24" i="6" s="1"/>
  <c r="L20" i="2" l="1"/>
  <c r="L21" i="2"/>
  <c r="M21" i="2" s="1"/>
  <c r="M20" i="2" l="1"/>
  <c r="J19" i="8" l="1"/>
  <c r="O19" i="8" s="1"/>
  <c r="I19" i="8"/>
  <c r="N19" i="8"/>
  <c r="R19" i="8" l="1"/>
  <c r="K19" i="8"/>
  <c r="B5" i="36"/>
  <c r="B4" i="36"/>
  <c r="B6" i="36"/>
  <c r="S19" i="8" l="1"/>
  <c r="B12" i="36"/>
  <c r="B8" i="36"/>
  <c r="B11" i="36" s="1"/>
  <c r="B9" i="36"/>
  <c r="B13" i="36" s="1"/>
  <c r="L19" i="2" l="1"/>
  <c r="M19" i="2" s="1"/>
  <c r="R38" i="6" l="1"/>
  <c r="L18" i="2" l="1"/>
  <c r="D29" i="2"/>
  <c r="E29" i="2"/>
  <c r="M18" i="2" l="1"/>
  <c r="F35" i="6"/>
  <c r="G35" i="6" s="1"/>
  <c r="F37" i="6"/>
  <c r="G37" i="6" s="1"/>
  <c r="K4" i="6"/>
  <c r="K5" i="6"/>
  <c r="K6" i="6"/>
  <c r="O7" i="6"/>
  <c r="O8" i="6"/>
  <c r="K9" i="6"/>
  <c r="O10" i="6"/>
  <c r="O11" i="6"/>
  <c r="O12" i="6"/>
  <c r="O13" i="6"/>
  <c r="O14" i="6"/>
  <c r="O15" i="6"/>
  <c r="O16" i="6"/>
  <c r="K17" i="6"/>
  <c r="O18" i="6"/>
  <c r="K19" i="6"/>
  <c r="O20" i="6"/>
  <c r="K21" i="6"/>
  <c r="K22" i="6"/>
  <c r="O25" i="6"/>
  <c r="O26" i="6"/>
  <c r="O27" i="6"/>
  <c r="K28" i="6"/>
  <c r="O29" i="6"/>
  <c r="O30" i="6"/>
  <c r="K31" i="6"/>
  <c r="O32" i="6"/>
  <c r="O34" i="6"/>
  <c r="K36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5" i="6"/>
  <c r="I26" i="6"/>
  <c r="I27" i="6"/>
  <c r="I28" i="6"/>
  <c r="I29" i="6"/>
  <c r="I30" i="6"/>
  <c r="I31" i="6"/>
  <c r="I32" i="6"/>
  <c r="I34" i="6"/>
  <c r="I36" i="6"/>
  <c r="J38" i="6"/>
  <c r="K10" i="6"/>
  <c r="M38" i="6"/>
  <c r="N38" i="6"/>
  <c r="I33" i="6" l="1"/>
  <c r="G33" i="6"/>
  <c r="K33" i="6" s="1"/>
  <c r="O31" i="6"/>
  <c r="K11" i="6"/>
  <c r="L11" i="6" s="1"/>
  <c r="O36" i="6"/>
  <c r="O6" i="6"/>
  <c r="O5" i="6"/>
  <c r="O22" i="6"/>
  <c r="O4" i="6"/>
  <c r="O21" i="6"/>
  <c r="K16" i="6"/>
  <c r="L16" i="6" s="1"/>
  <c r="K29" i="6"/>
  <c r="L29" i="6" s="1"/>
  <c r="K18" i="6"/>
  <c r="L18" i="6" s="1"/>
  <c r="K26" i="6"/>
  <c r="L26" i="6" s="1"/>
  <c r="K13" i="6"/>
  <c r="L13" i="6" s="1"/>
  <c r="O17" i="6"/>
  <c r="K25" i="6"/>
  <c r="L25" i="6" s="1"/>
  <c r="K12" i="6"/>
  <c r="L12" i="6" s="1"/>
  <c r="F38" i="6"/>
  <c r="I35" i="6"/>
  <c r="K37" i="6"/>
  <c r="O37" i="6"/>
  <c r="L9" i="6"/>
  <c r="O9" i="6"/>
  <c r="K34" i="6"/>
  <c r="L34" i="6" s="1"/>
  <c r="I37" i="6"/>
  <c r="L21" i="6"/>
  <c r="O35" i="6"/>
  <c r="K35" i="6"/>
  <c r="O28" i="6"/>
  <c r="O19" i="6"/>
  <c r="K32" i="6"/>
  <c r="L32" i="6" s="1"/>
  <c r="L10" i="6"/>
  <c r="K30" i="6"/>
  <c r="L30" i="6" s="1"/>
  <c r="L22" i="6"/>
  <c r="K15" i="6"/>
  <c r="L15" i="6" s="1"/>
  <c r="K7" i="6"/>
  <c r="L4" i="6"/>
  <c r="L28" i="6"/>
  <c r="K27" i="6"/>
  <c r="L27" i="6" s="1"/>
  <c r="K20" i="6"/>
  <c r="L20" i="6" s="1"/>
  <c r="K14" i="6"/>
  <c r="L14" i="6" s="1"/>
  <c r="K8" i="6"/>
  <c r="L8" i="6" s="1"/>
  <c r="H38" i="6"/>
  <c r="L19" i="6"/>
  <c r="L36" i="6"/>
  <c r="L31" i="6"/>
  <c r="L6" i="6"/>
  <c r="L17" i="6"/>
  <c r="L5" i="6"/>
  <c r="L35" i="6" l="1"/>
  <c r="O33" i="6"/>
  <c r="O38" i="6" s="1"/>
  <c r="G38" i="6"/>
  <c r="L33" i="6"/>
  <c r="L37" i="6"/>
  <c r="I38" i="6"/>
  <c r="L7" i="6"/>
  <c r="K38" i="6" l="1"/>
  <c r="L38" i="6"/>
  <c r="H5" i="34" l="1"/>
  <c r="N7" i="8"/>
  <c r="J7" i="8" l="1"/>
  <c r="O7" i="8" l="1"/>
  <c r="R7" i="8" s="1"/>
  <c r="K7" i="8"/>
  <c r="B27" i="34"/>
  <c r="S7" i="8" l="1"/>
  <c r="E5" i="34"/>
  <c r="J5" i="34" s="1"/>
  <c r="G3" i="34"/>
  <c r="G5" i="34"/>
  <c r="F5" i="34"/>
  <c r="E4" i="34"/>
  <c r="H4" i="34" s="1"/>
  <c r="C3" i="34"/>
  <c r="D3" i="34" s="1"/>
  <c r="I5" i="34" l="1"/>
  <c r="I4" i="34"/>
  <c r="K4" i="34"/>
  <c r="J4" i="34"/>
  <c r="E3" i="34"/>
  <c r="F3" i="34"/>
  <c r="K9" i="2"/>
  <c r="L9" i="2" s="1"/>
  <c r="J3" i="34" l="1"/>
  <c r="H3" i="34"/>
  <c r="K3" i="34" s="1"/>
  <c r="K5" i="34"/>
  <c r="N5" i="34" s="1"/>
  <c r="N4" i="34"/>
  <c r="I3" i="34" l="1"/>
  <c r="N3" i="34"/>
  <c r="N9" i="34" s="1"/>
  <c r="B5" i="30" l="1"/>
  <c r="B6" i="30"/>
  <c r="B4" i="30"/>
  <c r="B15" i="30" s="1"/>
  <c r="B7" i="30" l="1"/>
  <c r="B14" i="30" s="1"/>
  <c r="B16" i="30" s="1"/>
  <c r="B8" i="30"/>
  <c r="B17" i="30" s="1"/>
  <c r="Q38" i="6" l="1"/>
  <c r="P22" i="6"/>
  <c r="S22" i="6" l="1"/>
  <c r="P37" i="6"/>
  <c r="S37" i="6" l="1"/>
  <c r="T37" i="6" s="1"/>
  <c r="T22" i="6"/>
  <c r="K5" i="2" l="1"/>
  <c r="L5" i="2" l="1"/>
  <c r="P36" i="6"/>
  <c r="S36" i="6" l="1"/>
  <c r="T36" i="6" l="1"/>
  <c r="P33" i="6" l="1"/>
  <c r="S33" i="6" l="1"/>
  <c r="T33" i="6" s="1"/>
  <c r="Q25" i="8" l="1"/>
  <c r="P25" i="8"/>
  <c r="M25" i="8"/>
  <c r="I8" i="2" l="1"/>
  <c r="I16" i="8" l="1"/>
  <c r="P35" i="6" l="1"/>
  <c r="S35" i="6" s="1"/>
  <c r="D11" i="2"/>
  <c r="K8" i="2"/>
  <c r="L8" i="2" l="1"/>
  <c r="T35" i="6" l="1"/>
  <c r="K6" i="2" l="1"/>
  <c r="L6" i="2" l="1"/>
  <c r="D7" i="28" l="1"/>
  <c r="F7" i="28" s="1"/>
  <c r="G7" i="28" s="1"/>
  <c r="D6" i="28"/>
  <c r="F6" i="28" s="1"/>
  <c r="G6" i="28" s="1"/>
  <c r="D5" i="28"/>
  <c r="F5" i="28" s="1"/>
  <c r="G5" i="28" s="1"/>
  <c r="D4" i="28"/>
  <c r="D3" i="28"/>
  <c r="F3" i="28" s="1"/>
  <c r="G3" i="28" s="1"/>
  <c r="F4" i="28" l="1"/>
  <c r="G4" i="28" s="1"/>
  <c r="H7" i="28"/>
  <c r="H5" i="28"/>
  <c r="I5" i="28"/>
  <c r="L5" i="28" s="1"/>
  <c r="H3" i="28"/>
  <c r="I6" i="28"/>
  <c r="H6" i="28"/>
  <c r="K4" i="28"/>
  <c r="I4" i="28"/>
  <c r="L4" i="28" s="1"/>
  <c r="I7" i="28"/>
  <c r="H4" i="28" l="1"/>
  <c r="J4" i="28" s="1"/>
  <c r="M4" i="28" s="1"/>
  <c r="F8" i="28"/>
  <c r="K6" i="28"/>
  <c r="K7" i="28"/>
  <c r="L7" i="28"/>
  <c r="J7" i="28"/>
  <c r="L6" i="28"/>
  <c r="J6" i="28"/>
  <c r="M6" i="28" s="1"/>
  <c r="G8" i="28"/>
  <c r="I3" i="28"/>
  <c r="L3" i="28" s="1"/>
  <c r="J5" i="28"/>
  <c r="K3" i="28"/>
  <c r="K5" i="28"/>
  <c r="H8" i="28" l="1"/>
  <c r="M7" i="28"/>
  <c r="M5" i="28"/>
  <c r="K8" i="28"/>
  <c r="J3" i="28"/>
  <c r="M3" i="28" s="1"/>
  <c r="I8" i="28"/>
  <c r="L8" i="28"/>
  <c r="J8" i="28" l="1"/>
  <c r="M8" i="28" l="1"/>
  <c r="H25" i="8" l="1"/>
  <c r="G25" i="8" l="1"/>
  <c r="O17" i="27"/>
  <c r="N17" i="27"/>
  <c r="M17" i="27"/>
  <c r="L17" i="27"/>
  <c r="K17" i="27"/>
  <c r="J17" i="27"/>
  <c r="I17" i="27"/>
  <c r="H17" i="27"/>
  <c r="G17" i="27"/>
  <c r="E16" i="27"/>
  <c r="G16" i="27" s="1"/>
  <c r="E15" i="27"/>
  <c r="G15" i="27" s="1"/>
  <c r="I15" i="27" l="1"/>
  <c r="H15" i="27"/>
  <c r="M15" i="27" s="1"/>
  <c r="J15" i="27"/>
  <c r="N15" i="27" s="1"/>
  <c r="I16" i="27"/>
  <c r="H16" i="27"/>
  <c r="J16" i="27" s="1"/>
  <c r="N16" i="27" s="1"/>
  <c r="M16" i="27"/>
  <c r="L13" i="27"/>
  <c r="L12" i="27"/>
  <c r="L10" i="27"/>
  <c r="L9" i="27"/>
  <c r="L7" i="27"/>
  <c r="L6" i="27"/>
  <c r="L4" i="27"/>
  <c r="L3" i="27"/>
  <c r="G13" i="27"/>
  <c r="G10" i="27"/>
  <c r="G12" i="27"/>
  <c r="G9" i="27"/>
  <c r="G6" i="27"/>
  <c r="G3" i="27"/>
  <c r="E13" i="27"/>
  <c r="E12" i="27"/>
  <c r="E10" i="27"/>
  <c r="E9" i="27"/>
  <c r="E7" i="27"/>
  <c r="G7" i="27" s="1"/>
  <c r="E6" i="27"/>
  <c r="E4" i="27"/>
  <c r="G4" i="27" s="1"/>
  <c r="E3" i="27"/>
  <c r="K16" i="27" l="1"/>
  <c r="K15" i="27"/>
  <c r="H10" i="27"/>
  <c r="M10" i="27" s="1"/>
  <c r="J10" i="27"/>
  <c r="N10" i="27" s="1"/>
  <c r="I10" i="27"/>
  <c r="K10" i="27" s="1"/>
  <c r="O10" i="27" s="1"/>
  <c r="H3" i="27"/>
  <c r="M3" i="27" s="1"/>
  <c r="I3" i="27"/>
  <c r="H12" i="27"/>
  <c r="I12" i="27"/>
  <c r="H4" i="27"/>
  <c r="M4" i="27"/>
  <c r="J4" i="27"/>
  <c r="N4" i="27" s="1"/>
  <c r="I4" i="27"/>
  <c r="H13" i="27"/>
  <c r="J13" i="27" s="1"/>
  <c r="N13" i="27" s="1"/>
  <c r="I13" i="27"/>
  <c r="H6" i="27"/>
  <c r="J6" i="27" s="1"/>
  <c r="N6" i="27" s="1"/>
  <c r="I6" i="27"/>
  <c r="H7" i="27"/>
  <c r="J7" i="27" s="1"/>
  <c r="I7" i="27"/>
  <c r="H9" i="27"/>
  <c r="M9" i="27" s="1"/>
  <c r="J9" i="27"/>
  <c r="N9" i="27" s="1"/>
  <c r="I9" i="27"/>
  <c r="L16" i="27" l="1"/>
  <c r="O16" i="27" s="1"/>
  <c r="L15" i="27"/>
  <c r="O15" i="27" s="1"/>
  <c r="J3" i="27"/>
  <c r="J12" i="27"/>
  <c r="N12" i="27" s="1"/>
  <c r="M7" i="27"/>
  <c r="K4" i="27"/>
  <c r="O4" i="27" s="1"/>
  <c r="M12" i="27"/>
  <c r="N7" i="27"/>
  <c r="K7" i="27"/>
  <c r="K6" i="27"/>
  <c r="N3" i="27"/>
  <c r="K9" i="27"/>
  <c r="O9" i="27" s="1"/>
  <c r="M6" i="27"/>
  <c r="K13" i="27"/>
  <c r="O13" i="27" s="1"/>
  <c r="M13" i="27"/>
  <c r="K3" i="27"/>
  <c r="O6" i="27" l="1"/>
  <c r="O7" i="27"/>
  <c r="K12" i="27"/>
  <c r="O12" i="27" s="1"/>
  <c r="O3" i="27"/>
  <c r="L17" i="2" l="1"/>
  <c r="M17" i="2" l="1"/>
  <c r="L16" i="2" l="1"/>
  <c r="L23" i="2" s="1"/>
  <c r="M16" i="2" l="1"/>
  <c r="M23" i="2" s="1"/>
  <c r="I10" i="8" l="1"/>
  <c r="N10" i="8" l="1"/>
  <c r="N16" i="8"/>
  <c r="J10" i="8" l="1"/>
  <c r="O10" i="8" s="1"/>
  <c r="R10" i="8" s="1"/>
  <c r="K10" i="8" l="1"/>
  <c r="S10" i="8" s="1"/>
  <c r="O16" i="8"/>
  <c r="R16" i="8" s="1"/>
  <c r="K16" i="8"/>
  <c r="S16" i="8" l="1"/>
  <c r="F28" i="2" l="1"/>
  <c r="F29" i="2" s="1"/>
  <c r="G28" i="2" l="1"/>
  <c r="J11" i="2"/>
  <c r="H28" i="2" l="1"/>
  <c r="H29" i="2" s="1"/>
  <c r="G29" i="2"/>
  <c r="K10" i="2"/>
  <c r="H11" i="2" l="1"/>
  <c r="G11" i="2"/>
  <c r="F11" i="2" l="1"/>
  <c r="L10" i="2" l="1"/>
  <c r="I7" i="2"/>
  <c r="K7" i="2" l="1"/>
  <c r="L7" i="2" s="1"/>
  <c r="I11" i="2"/>
  <c r="L11" i="2" l="1"/>
  <c r="K11" i="2"/>
  <c r="P15" i="6" l="1"/>
  <c r="P11" i="6"/>
  <c r="P21" i="6"/>
  <c r="P16" i="6"/>
  <c r="P9" i="6"/>
  <c r="S9" i="6" s="1"/>
  <c r="I9" i="8"/>
  <c r="I22" i="8"/>
  <c r="I21" i="8"/>
  <c r="I20" i="8"/>
  <c r="I18" i="8"/>
  <c r="I17" i="8"/>
  <c r="I24" i="8"/>
  <c r="I23" i="8"/>
  <c r="I15" i="8"/>
  <c r="I14" i="8"/>
  <c r="I11" i="8"/>
  <c r="I6" i="8"/>
  <c r="I25" i="8" l="1"/>
  <c r="P17" i="6"/>
  <c r="S21" i="6"/>
  <c r="S16" i="6"/>
  <c r="S11" i="6"/>
  <c r="P7" i="6"/>
  <c r="S7" i="6" s="1"/>
  <c r="S15" i="6"/>
  <c r="P8" i="6"/>
  <c r="S8" i="6" s="1"/>
  <c r="T9" i="6"/>
  <c r="S17" i="6" l="1"/>
  <c r="T17" i="6" s="1"/>
  <c r="P10" i="6"/>
  <c r="S10" i="6" s="1"/>
  <c r="T10" i="6" s="1"/>
  <c r="T11" i="6"/>
  <c r="T16" i="6"/>
  <c r="T21" i="6"/>
  <c r="T15" i="6"/>
  <c r="T7" i="6"/>
  <c r="T8" i="6"/>
  <c r="J6" i="8"/>
  <c r="N15" i="8" l="1"/>
  <c r="J15" i="8"/>
  <c r="P27" i="6" l="1"/>
  <c r="P12" i="6"/>
  <c r="P31" i="6"/>
  <c r="P29" i="6"/>
  <c r="P34" i="6"/>
  <c r="P30" i="6"/>
  <c r="P25" i="6"/>
  <c r="P32" i="6"/>
  <c r="P28" i="6"/>
  <c r="P26" i="6"/>
  <c r="P20" i="6"/>
  <c r="P18" i="6"/>
  <c r="P13" i="6"/>
  <c r="P4" i="6" l="1"/>
  <c r="S4" i="6" s="1"/>
  <c r="S32" i="6"/>
  <c r="S30" i="6"/>
  <c r="P5" i="6"/>
  <c r="S5" i="6" s="1"/>
  <c r="T5" i="6" s="1"/>
  <c r="S12" i="6"/>
  <c r="S34" i="6"/>
  <c r="S20" i="6"/>
  <c r="S28" i="6"/>
  <c r="S25" i="6"/>
  <c r="P14" i="6"/>
  <c r="S14" i="6" s="1"/>
  <c r="S31" i="6"/>
  <c r="P6" i="6"/>
  <c r="S18" i="6"/>
  <c r="P19" i="6"/>
  <c r="S19" i="6" s="1"/>
  <c r="S27" i="6"/>
  <c r="S26" i="6"/>
  <c r="S13" i="6"/>
  <c r="S29" i="6"/>
  <c r="P38" i="6" l="1"/>
  <c r="T32" i="6"/>
  <c r="T30" i="6"/>
  <c r="T12" i="6"/>
  <c r="T28" i="6"/>
  <c r="T20" i="6"/>
  <c r="T25" i="6"/>
  <c r="T34" i="6"/>
  <c r="S6" i="6"/>
  <c r="S38" i="6" s="1"/>
  <c r="T4" i="6"/>
  <c r="T13" i="6"/>
  <c r="T31" i="6"/>
  <c r="T14" i="6"/>
  <c r="T18" i="6"/>
  <c r="T26" i="6"/>
  <c r="T19" i="6"/>
  <c r="T27" i="6"/>
  <c r="T29" i="6"/>
  <c r="V35" i="6" l="1"/>
  <c r="T6" i="6"/>
  <c r="T38" i="6" l="1"/>
  <c r="N9" i="8"/>
  <c r="J9" i="8"/>
  <c r="N14" i="8"/>
  <c r="J14" i="8"/>
  <c r="N18" i="8"/>
  <c r="J18" i="8"/>
  <c r="N23" i="8"/>
  <c r="J23" i="8"/>
  <c r="N24" i="8"/>
  <c r="J24" i="8"/>
  <c r="N22" i="8"/>
  <c r="J22" i="8"/>
  <c r="N20" i="8"/>
  <c r="J20" i="8"/>
  <c r="N6" i="8"/>
  <c r="N21" i="8"/>
  <c r="J21" i="8"/>
  <c r="N11" i="8"/>
  <c r="J11" i="8"/>
  <c r="N17" i="8"/>
  <c r="J17" i="8"/>
  <c r="N5" i="8"/>
  <c r="J5" i="8"/>
  <c r="N25" i="8" l="1"/>
  <c r="J25" i="8"/>
  <c r="O9" i="8"/>
  <c r="O5" i="8" l="1"/>
  <c r="O24" i="8"/>
  <c r="O18" i="8"/>
  <c r="O21" i="8"/>
  <c r="O6" i="8"/>
  <c r="O14" i="8"/>
  <c r="O23" i="8"/>
  <c r="O17" i="8"/>
  <c r="O20" i="8"/>
  <c r="O22" i="8"/>
  <c r="O11" i="8"/>
  <c r="O15" i="8"/>
  <c r="O25" i="8" l="1"/>
  <c r="K14" i="8"/>
  <c r="R23" i="8"/>
  <c r="K5" i="8"/>
  <c r="K23" i="8"/>
  <c r="R14" i="8"/>
  <c r="S14" i="8" l="1"/>
  <c r="C77" i="24" l="1"/>
  <c r="D77" i="24" s="1"/>
  <c r="E77" i="24" s="1"/>
  <c r="C76" i="24"/>
  <c r="D76" i="24" s="1"/>
  <c r="C57" i="24"/>
  <c r="D57" i="24" s="1"/>
  <c r="E57" i="24" s="1"/>
  <c r="C56" i="24"/>
  <c r="D56" i="24" s="1"/>
  <c r="B52" i="24"/>
  <c r="B30" i="24"/>
  <c r="C51" i="24"/>
  <c r="D51" i="24" s="1"/>
  <c r="E51" i="24" s="1"/>
  <c r="C50" i="24"/>
  <c r="D50" i="24" s="1"/>
  <c r="E50" i="24" s="1"/>
  <c r="C49" i="24"/>
  <c r="D49" i="24" s="1"/>
  <c r="E49" i="24" s="1"/>
  <c r="C48" i="24"/>
  <c r="D48" i="24" s="1"/>
  <c r="E48" i="24" s="1"/>
  <c r="C47" i="24"/>
  <c r="D47" i="24" s="1"/>
  <c r="E47" i="24" s="1"/>
  <c r="C46" i="24"/>
  <c r="D46" i="24" s="1"/>
  <c r="E46" i="24" s="1"/>
  <c r="C45" i="24"/>
  <c r="D45" i="24" s="1"/>
  <c r="E45" i="24" s="1"/>
  <c r="C44" i="24"/>
  <c r="D44" i="24" s="1"/>
  <c r="E44" i="24" s="1"/>
  <c r="C43" i="24"/>
  <c r="D43" i="24" s="1"/>
  <c r="E43" i="24" s="1"/>
  <c r="C42" i="24"/>
  <c r="D42" i="24" s="1"/>
  <c r="E42" i="24" s="1"/>
  <c r="C41" i="24"/>
  <c r="D41" i="24" s="1"/>
  <c r="E41" i="24" s="1"/>
  <c r="C40" i="24"/>
  <c r="D40" i="24" s="1"/>
  <c r="E40" i="24" s="1"/>
  <c r="C39" i="24"/>
  <c r="D39" i="24" s="1"/>
  <c r="E39" i="24" s="1"/>
  <c r="C38" i="24"/>
  <c r="D38" i="24" s="1"/>
  <c r="E38" i="24" s="1"/>
  <c r="C37" i="24"/>
  <c r="D37" i="24" s="1"/>
  <c r="E37" i="24" s="1"/>
  <c r="C36" i="24"/>
  <c r="D36" i="24" s="1"/>
  <c r="E36" i="24" s="1"/>
  <c r="C35" i="24"/>
  <c r="D35" i="24" s="1"/>
  <c r="E35" i="24" s="1"/>
  <c r="C34" i="24"/>
  <c r="D34" i="24" s="1"/>
  <c r="E34" i="24" s="1"/>
  <c r="C33" i="24"/>
  <c r="D33" i="24" s="1"/>
  <c r="E33" i="24" s="1"/>
  <c r="C32" i="24"/>
  <c r="D32" i="24" s="1"/>
  <c r="E32" i="24" s="1"/>
  <c r="C31" i="24"/>
  <c r="C29" i="24"/>
  <c r="D29" i="24" s="1"/>
  <c r="E29" i="24" s="1"/>
  <c r="C28" i="24"/>
  <c r="D28" i="24" s="1"/>
  <c r="E28" i="24" s="1"/>
  <c r="C27" i="24"/>
  <c r="D27" i="24" s="1"/>
  <c r="E27" i="24" s="1"/>
  <c r="C26" i="24"/>
  <c r="D26" i="24" s="1"/>
  <c r="E26" i="24" s="1"/>
  <c r="C25" i="24"/>
  <c r="D25" i="24" s="1"/>
  <c r="E25" i="24" s="1"/>
  <c r="C24" i="24"/>
  <c r="D24" i="24" s="1"/>
  <c r="E24" i="24" s="1"/>
  <c r="C23" i="24"/>
  <c r="D23" i="24" s="1"/>
  <c r="E23" i="24" s="1"/>
  <c r="C22" i="24"/>
  <c r="D22" i="24" s="1"/>
  <c r="E22" i="24" s="1"/>
  <c r="C21" i="24"/>
  <c r="D21" i="24" s="1"/>
  <c r="E21" i="24" s="1"/>
  <c r="C20" i="24"/>
  <c r="D20" i="24" s="1"/>
  <c r="E20" i="24" s="1"/>
  <c r="C19" i="24"/>
  <c r="D19" i="24" s="1"/>
  <c r="E19" i="24" s="1"/>
  <c r="C18" i="24"/>
  <c r="D18" i="24" s="1"/>
  <c r="E18" i="24" s="1"/>
  <c r="C17" i="24"/>
  <c r="D17" i="24" s="1"/>
  <c r="E17" i="24" s="1"/>
  <c r="C16" i="24"/>
  <c r="D16" i="24" s="1"/>
  <c r="E16" i="24" s="1"/>
  <c r="C15" i="24"/>
  <c r="D15" i="24" s="1"/>
  <c r="E15" i="24" s="1"/>
  <c r="C14" i="24"/>
  <c r="D14" i="24" s="1"/>
  <c r="E14" i="24" s="1"/>
  <c r="C13" i="24"/>
  <c r="D13" i="24" s="1"/>
  <c r="E13" i="24" s="1"/>
  <c r="C12" i="24"/>
  <c r="D12" i="24" s="1"/>
  <c r="E12" i="24" s="1"/>
  <c r="C11" i="24"/>
  <c r="D11" i="24" s="1"/>
  <c r="E11" i="24" s="1"/>
  <c r="C10" i="24"/>
  <c r="D10" i="24" s="1"/>
  <c r="E10" i="24" s="1"/>
  <c r="C9" i="24"/>
  <c r="D9" i="24" s="1"/>
  <c r="E9" i="24" s="1"/>
  <c r="C8" i="24"/>
  <c r="D8" i="24" s="1"/>
  <c r="E8" i="24" s="1"/>
  <c r="C7" i="24"/>
  <c r="D7" i="24" s="1"/>
  <c r="E7" i="24" s="1"/>
  <c r="C6" i="24"/>
  <c r="D6" i="24" s="1"/>
  <c r="E6" i="24" s="1"/>
  <c r="C5" i="24"/>
  <c r="D5" i="24" s="1"/>
  <c r="E5" i="24" s="1"/>
  <c r="C4" i="24"/>
  <c r="D4" i="24" s="1"/>
  <c r="E4" i="24" s="1"/>
  <c r="C3" i="24"/>
  <c r="D3" i="24" s="1"/>
  <c r="B51" i="23"/>
  <c r="C50" i="23"/>
  <c r="D50" i="23" s="1"/>
  <c r="E50" i="23" s="1"/>
  <c r="C49" i="23"/>
  <c r="D49" i="23" s="1"/>
  <c r="E49" i="23" s="1"/>
  <c r="C48" i="23"/>
  <c r="D48" i="23" s="1"/>
  <c r="E48" i="23" s="1"/>
  <c r="C47" i="23"/>
  <c r="D47" i="23" s="1"/>
  <c r="E47" i="23" s="1"/>
  <c r="C46" i="23"/>
  <c r="D46" i="23" s="1"/>
  <c r="E46" i="23" s="1"/>
  <c r="C45" i="23"/>
  <c r="D45" i="23" s="1"/>
  <c r="E45" i="23" s="1"/>
  <c r="C44" i="23"/>
  <c r="D44" i="23" s="1"/>
  <c r="E44" i="23" s="1"/>
  <c r="C43" i="23"/>
  <c r="D43" i="23" s="1"/>
  <c r="E43" i="23" s="1"/>
  <c r="C42" i="23"/>
  <c r="D42" i="23" s="1"/>
  <c r="E42" i="23" s="1"/>
  <c r="C41" i="23"/>
  <c r="D41" i="23" s="1"/>
  <c r="E41" i="23" s="1"/>
  <c r="C40" i="23"/>
  <c r="D40" i="23" s="1"/>
  <c r="E40" i="23" s="1"/>
  <c r="C39" i="23"/>
  <c r="D39" i="23" s="1"/>
  <c r="E39" i="23" s="1"/>
  <c r="C38" i="23"/>
  <c r="D38" i="23" s="1"/>
  <c r="E38" i="23" s="1"/>
  <c r="C37" i="23"/>
  <c r="D37" i="23" s="1"/>
  <c r="E37" i="23" s="1"/>
  <c r="C36" i="23"/>
  <c r="D36" i="23" s="1"/>
  <c r="E36" i="23" s="1"/>
  <c r="C35" i="23"/>
  <c r="D35" i="23" s="1"/>
  <c r="E35" i="23" s="1"/>
  <c r="C34" i="23"/>
  <c r="D34" i="23" s="1"/>
  <c r="E34" i="23" s="1"/>
  <c r="C33" i="23"/>
  <c r="D33" i="23" s="1"/>
  <c r="E33" i="23" s="1"/>
  <c r="C32" i="23"/>
  <c r="D32" i="23" s="1"/>
  <c r="E32" i="23" s="1"/>
  <c r="C31" i="23"/>
  <c r="D31" i="23" s="1"/>
  <c r="E31" i="23" s="1"/>
  <c r="C30" i="23"/>
  <c r="D30" i="23" s="1"/>
  <c r="E30" i="23" s="1"/>
  <c r="C29" i="23"/>
  <c r="D29" i="23" s="1"/>
  <c r="E29" i="23" s="1"/>
  <c r="C28" i="23"/>
  <c r="D28" i="23" s="1"/>
  <c r="E28" i="23" s="1"/>
  <c r="C27" i="23"/>
  <c r="D27" i="23" s="1"/>
  <c r="E27" i="23" s="1"/>
  <c r="C26" i="23"/>
  <c r="D26" i="23" s="1"/>
  <c r="E26" i="23" s="1"/>
  <c r="C25" i="23"/>
  <c r="D25" i="23" s="1"/>
  <c r="E25" i="23" s="1"/>
  <c r="C24" i="23"/>
  <c r="D24" i="23" s="1"/>
  <c r="E24" i="23" s="1"/>
  <c r="C23" i="23"/>
  <c r="D23" i="23" s="1"/>
  <c r="E23" i="23" s="1"/>
  <c r="C22" i="23"/>
  <c r="D22" i="23" s="1"/>
  <c r="E22" i="23" s="1"/>
  <c r="C21" i="23"/>
  <c r="D21" i="23" s="1"/>
  <c r="E21" i="23" s="1"/>
  <c r="C20" i="23"/>
  <c r="D20" i="23" s="1"/>
  <c r="E20" i="23" s="1"/>
  <c r="C19" i="23"/>
  <c r="D19" i="23" s="1"/>
  <c r="E19" i="23" s="1"/>
  <c r="C18" i="23"/>
  <c r="D18" i="23" s="1"/>
  <c r="E18" i="23" s="1"/>
  <c r="C17" i="23"/>
  <c r="D17" i="23" s="1"/>
  <c r="E17" i="23" s="1"/>
  <c r="C16" i="23"/>
  <c r="D16" i="23" s="1"/>
  <c r="E16" i="23" s="1"/>
  <c r="C15" i="23"/>
  <c r="D15" i="23" s="1"/>
  <c r="E15" i="23" s="1"/>
  <c r="C14" i="23"/>
  <c r="D14" i="23" s="1"/>
  <c r="E14" i="23" s="1"/>
  <c r="C13" i="23"/>
  <c r="D13" i="23" s="1"/>
  <c r="E13" i="23" s="1"/>
  <c r="C12" i="23"/>
  <c r="D12" i="23" s="1"/>
  <c r="E12" i="23" s="1"/>
  <c r="C11" i="23"/>
  <c r="D11" i="23" s="1"/>
  <c r="E11" i="23" s="1"/>
  <c r="C10" i="23"/>
  <c r="D10" i="23" s="1"/>
  <c r="E10" i="23" s="1"/>
  <c r="C9" i="23"/>
  <c r="D9" i="23" s="1"/>
  <c r="E9" i="23" s="1"/>
  <c r="C8" i="23"/>
  <c r="D8" i="23" s="1"/>
  <c r="E8" i="23" s="1"/>
  <c r="C7" i="23"/>
  <c r="D7" i="23" s="1"/>
  <c r="E7" i="23" s="1"/>
  <c r="C6" i="23"/>
  <c r="D6" i="23" s="1"/>
  <c r="E6" i="23" s="1"/>
  <c r="C5" i="23"/>
  <c r="D5" i="23" s="1"/>
  <c r="E5" i="23" s="1"/>
  <c r="C4" i="23"/>
  <c r="D4" i="23" s="1"/>
  <c r="E4" i="23" s="1"/>
  <c r="C3" i="23"/>
  <c r="D3" i="23" s="1"/>
  <c r="C52" i="24" l="1"/>
  <c r="E56" i="24"/>
  <c r="E58" i="24" s="1"/>
  <c r="E60" i="24" s="1"/>
  <c r="D58" i="24"/>
  <c r="D31" i="24"/>
  <c r="E31" i="24" s="1"/>
  <c r="E3" i="23"/>
  <c r="E51" i="23" s="1"/>
  <c r="D51" i="23"/>
  <c r="C51" i="23"/>
  <c r="D30" i="24"/>
  <c r="E76" i="24"/>
  <c r="E78" i="24" s="1"/>
  <c r="D78" i="24"/>
  <c r="E52" i="24"/>
  <c r="C30" i="24"/>
  <c r="E3" i="24"/>
  <c r="E30" i="24" s="1"/>
  <c r="I6" i="22"/>
  <c r="G6" i="22"/>
  <c r="J6" i="22" s="1"/>
  <c r="G5" i="22"/>
  <c r="H5" i="22" s="1"/>
  <c r="P5" i="22" s="1"/>
  <c r="G4" i="22"/>
  <c r="J4" i="22" s="1"/>
  <c r="R27" i="22"/>
  <c r="Q27" i="22"/>
  <c r="O27" i="22"/>
  <c r="N27" i="22"/>
  <c r="J26" i="22"/>
  <c r="I26" i="22"/>
  <c r="H26" i="22"/>
  <c r="P26" i="22" s="1"/>
  <c r="S26" i="22" s="1"/>
  <c r="J25" i="22"/>
  <c r="I25" i="22"/>
  <c r="H25" i="22"/>
  <c r="J24" i="22"/>
  <c r="I24" i="22"/>
  <c r="H24" i="22"/>
  <c r="P24" i="22" s="1"/>
  <c r="S24" i="22" s="1"/>
  <c r="J23" i="22"/>
  <c r="I23" i="22"/>
  <c r="H23" i="22"/>
  <c r="P23" i="22" s="1"/>
  <c r="S23" i="22" s="1"/>
  <c r="J22" i="22"/>
  <c r="I22" i="22"/>
  <c r="H22" i="22"/>
  <c r="J21" i="22"/>
  <c r="I21" i="22"/>
  <c r="H21" i="22"/>
  <c r="P21" i="22" s="1"/>
  <c r="S21" i="22" s="1"/>
  <c r="J20" i="22"/>
  <c r="I20" i="22"/>
  <c r="H20" i="22"/>
  <c r="P20" i="22" s="1"/>
  <c r="S20" i="22" s="1"/>
  <c r="J19" i="22"/>
  <c r="I19" i="22"/>
  <c r="H19" i="22"/>
  <c r="J18" i="22"/>
  <c r="I18" i="22"/>
  <c r="H18" i="22"/>
  <c r="P18" i="22" s="1"/>
  <c r="S18" i="22" s="1"/>
  <c r="J17" i="22"/>
  <c r="I17" i="22"/>
  <c r="H17" i="22"/>
  <c r="P17" i="22" s="1"/>
  <c r="S17" i="22" s="1"/>
  <c r="J16" i="22"/>
  <c r="I16" i="22"/>
  <c r="H16" i="22"/>
  <c r="P16" i="22" s="1"/>
  <c r="S16" i="22" s="1"/>
  <c r="J15" i="22"/>
  <c r="I15" i="22"/>
  <c r="H15" i="22"/>
  <c r="P15" i="22" s="1"/>
  <c r="S15" i="22" s="1"/>
  <c r="J14" i="22"/>
  <c r="I14" i="22"/>
  <c r="H14" i="22"/>
  <c r="P14" i="22" s="1"/>
  <c r="S14" i="22" s="1"/>
  <c r="J13" i="22"/>
  <c r="I13" i="22"/>
  <c r="H13" i="22"/>
  <c r="P13" i="22" s="1"/>
  <c r="S13" i="22" s="1"/>
  <c r="J12" i="22"/>
  <c r="I12" i="22"/>
  <c r="H12" i="22"/>
  <c r="P12" i="22" s="1"/>
  <c r="S12" i="22" s="1"/>
  <c r="J11" i="22"/>
  <c r="H11" i="22"/>
  <c r="P11" i="22" s="1"/>
  <c r="S11" i="22" s="1"/>
  <c r="J10" i="22"/>
  <c r="I10" i="22"/>
  <c r="H10" i="22"/>
  <c r="P10" i="22" s="1"/>
  <c r="S10" i="22" s="1"/>
  <c r="J9" i="22"/>
  <c r="I9" i="22"/>
  <c r="H9" i="22"/>
  <c r="J8" i="22"/>
  <c r="I8" i="22"/>
  <c r="H8" i="22"/>
  <c r="P8" i="22" s="1"/>
  <c r="S8" i="22" s="1"/>
  <c r="J7" i="22"/>
  <c r="I7" i="22"/>
  <c r="H7" i="22"/>
  <c r="P7" i="22" s="1"/>
  <c r="S7" i="22" s="1"/>
  <c r="P6" i="22"/>
  <c r="S6" i="22" s="1"/>
  <c r="H6" i="22"/>
  <c r="S4" i="22"/>
  <c r="K25" i="22" l="1"/>
  <c r="M25" i="22" s="1"/>
  <c r="E59" i="24"/>
  <c r="K19" i="22"/>
  <c r="M19" i="22" s="1"/>
  <c r="D52" i="24"/>
  <c r="K26" i="22"/>
  <c r="M26" i="22" s="1"/>
  <c r="T26" i="22" s="1"/>
  <c r="K10" i="22"/>
  <c r="M10" i="22" s="1"/>
  <c r="T10" i="22" s="1"/>
  <c r="K7" i="22"/>
  <c r="M7" i="22" s="1"/>
  <c r="T7" i="22" s="1"/>
  <c r="K9" i="22"/>
  <c r="M9" i="22" s="1"/>
  <c r="K22" i="22"/>
  <c r="M22" i="22" s="1"/>
  <c r="K16" i="22"/>
  <c r="M16" i="22" s="1"/>
  <c r="T16" i="22" s="1"/>
  <c r="K17" i="22"/>
  <c r="M17" i="22" s="1"/>
  <c r="T17" i="22" s="1"/>
  <c r="P25" i="22"/>
  <c r="S25" i="22" s="1"/>
  <c r="T25" i="22" s="1"/>
  <c r="J5" i="22"/>
  <c r="J27" i="22" s="1"/>
  <c r="P9" i="22"/>
  <c r="S9" i="22" s="1"/>
  <c r="K13" i="22"/>
  <c r="M13" i="22" s="1"/>
  <c r="T13" i="22" s="1"/>
  <c r="K23" i="22"/>
  <c r="M23" i="22" s="1"/>
  <c r="T23" i="22" s="1"/>
  <c r="K20" i="22"/>
  <c r="M20" i="22" s="1"/>
  <c r="T20" i="22" s="1"/>
  <c r="I27" i="22"/>
  <c r="K14" i="22"/>
  <c r="M14" i="22" s="1"/>
  <c r="T14" i="22" s="1"/>
  <c r="P22" i="22"/>
  <c r="S22" i="22" s="1"/>
  <c r="D52" i="23"/>
  <c r="D53" i="23"/>
  <c r="K11" i="22"/>
  <c r="M11" i="22" s="1"/>
  <c r="T11" i="22" s="1"/>
  <c r="P19" i="22"/>
  <c r="S19" i="22" s="1"/>
  <c r="T19" i="22" s="1"/>
  <c r="E80" i="24"/>
  <c r="E79" i="24"/>
  <c r="E53" i="23"/>
  <c r="E52" i="23"/>
  <c r="K6" i="22"/>
  <c r="M6" i="22" s="1"/>
  <c r="T6" i="22" s="1"/>
  <c r="G27" i="22"/>
  <c r="H4" i="22"/>
  <c r="K4" i="22" s="1"/>
  <c r="M4" i="22" s="1"/>
  <c r="S5" i="22"/>
  <c r="K8" i="22"/>
  <c r="M8" i="22" s="1"/>
  <c r="T8" i="22" s="1"/>
  <c r="K12" i="22"/>
  <c r="M12" i="22" s="1"/>
  <c r="T12" i="22" s="1"/>
  <c r="K15" i="22"/>
  <c r="M15" i="22" s="1"/>
  <c r="T15" i="22" s="1"/>
  <c r="K18" i="22"/>
  <c r="M18" i="22" s="1"/>
  <c r="T18" i="22" s="1"/>
  <c r="K21" i="22"/>
  <c r="M21" i="22" s="1"/>
  <c r="T21" i="22" s="1"/>
  <c r="K24" i="22"/>
  <c r="M24" i="22" s="1"/>
  <c r="T24" i="22" s="1"/>
  <c r="R5" i="8"/>
  <c r="K6" i="8"/>
  <c r="S5" i="8" l="1"/>
  <c r="T9" i="22"/>
  <c r="T22" i="22"/>
  <c r="K5" i="22"/>
  <c r="M5" i="22" s="1"/>
  <c r="M27" i="22" s="1"/>
  <c r="S27" i="22"/>
  <c r="H27" i="22"/>
  <c r="P27" i="22"/>
  <c r="R6" i="8"/>
  <c r="S6" i="8" s="1"/>
  <c r="T4" i="22"/>
  <c r="K27" i="22"/>
  <c r="T5" i="22" l="1"/>
  <c r="T27" i="22"/>
  <c r="B19" i="21" l="1"/>
  <c r="B6" i="21"/>
  <c r="B21" i="21" l="1"/>
  <c r="B22" i="21" s="1"/>
  <c r="R9" i="8" l="1"/>
  <c r="R22" i="8"/>
  <c r="K22" i="8"/>
  <c r="R21" i="8"/>
  <c r="K21" i="8"/>
  <c r="K20" i="8"/>
  <c r="S22" i="8" l="1"/>
  <c r="S21" i="8"/>
  <c r="K9" i="8"/>
  <c r="S9" i="8" s="1"/>
  <c r="R20" i="8"/>
  <c r="S20" i="8" s="1"/>
  <c r="K18" i="8" l="1"/>
  <c r="R17" i="8"/>
  <c r="K17" i="8"/>
  <c r="S17" i="8" l="1"/>
  <c r="R18" i="8"/>
  <c r="S18" i="8" s="1"/>
  <c r="K24" i="8"/>
  <c r="R24" i="8"/>
  <c r="S23" i="8"/>
  <c r="S24" i="8" l="1"/>
  <c r="K15" i="8" l="1"/>
  <c r="K11" i="8"/>
  <c r="N8" i="4"/>
  <c r="O8" i="4" s="1"/>
  <c r="N7" i="4"/>
  <c r="O7" i="4" s="1"/>
  <c r="N6" i="4"/>
  <c r="O6" i="4" s="1"/>
  <c r="N5" i="4"/>
  <c r="O5" i="4" s="1"/>
  <c r="N4" i="4"/>
  <c r="O4" i="4" s="1"/>
  <c r="N3" i="4"/>
  <c r="O3" i="4" s="1"/>
  <c r="J36" i="3"/>
  <c r="C36" i="3"/>
  <c r="K25" i="8" l="1"/>
  <c r="R15" i="8"/>
  <c r="S15" i="8" s="1"/>
  <c r="R11" i="8"/>
  <c r="S11" i="8" l="1"/>
  <c r="R25" i="8"/>
  <c r="S25" i="8" l="1"/>
</calcChain>
</file>

<file path=xl/sharedStrings.xml><?xml version="1.0" encoding="utf-8"?>
<sst xmlns="http://schemas.openxmlformats.org/spreadsheetml/2006/main" count="869" uniqueCount="415">
  <si>
    <t>S.No.</t>
  </si>
  <si>
    <t>Name of the Employee</t>
  </si>
  <si>
    <t>Designation</t>
  </si>
  <si>
    <t>Department</t>
  </si>
  <si>
    <t>Date of Joining</t>
  </si>
  <si>
    <t>Pay Scale</t>
  </si>
  <si>
    <t>Basic</t>
  </si>
  <si>
    <t>DA 17 %</t>
  </si>
  <si>
    <t>TA</t>
  </si>
  <si>
    <t>HRA 16 %</t>
  </si>
  <si>
    <t>Gross 
Salary</t>
  </si>
  <si>
    <t>No.of Days Salary Payable</t>
  </si>
  <si>
    <t>Gross Salary</t>
  </si>
  <si>
    <t>PT</t>
  </si>
  <si>
    <t>TDS</t>
  </si>
  <si>
    <t>NPS</t>
  </si>
  <si>
    <t>Other Recovery</t>
  </si>
  <si>
    <t>Total Deductions</t>
  </si>
  <si>
    <t>Net Salary</t>
  </si>
  <si>
    <t>Dr.V S R K Prasad</t>
  </si>
  <si>
    <t>Dy. Registrar</t>
  </si>
  <si>
    <t>Admn</t>
  </si>
  <si>
    <t>Level-12</t>
  </si>
  <si>
    <t>Asst.Professor</t>
  </si>
  <si>
    <t>Dr. P. Venkata Reddy</t>
  </si>
  <si>
    <t>O S</t>
  </si>
  <si>
    <t>Level-7</t>
  </si>
  <si>
    <t>Mrs. S Naga Venkata Saritha</t>
  </si>
  <si>
    <t>P S to Director</t>
  </si>
  <si>
    <t>Mrs. Ch Kalika Devi</t>
  </si>
  <si>
    <t>F O</t>
  </si>
  <si>
    <t>Mr. Y Rama Rao</t>
  </si>
  <si>
    <t>Level-5</t>
  </si>
  <si>
    <t>Mr. G. Shiva Kumar</t>
  </si>
  <si>
    <t>Level-6</t>
  </si>
  <si>
    <t xml:space="preserve">Mr.K Nagesh </t>
  </si>
  <si>
    <t>Total</t>
  </si>
  <si>
    <t>Monthly Salary</t>
  </si>
  <si>
    <t>PF</t>
  </si>
  <si>
    <t>Mr.U. Rambabu</t>
  </si>
  <si>
    <t>Junior Assistant</t>
  </si>
  <si>
    <t>Mr.Appala Murthy N</t>
  </si>
  <si>
    <t>Mr.P.Lakshman Krishna</t>
  </si>
  <si>
    <t>Office Asst.</t>
  </si>
  <si>
    <t>Mr.K.Govinda Rao</t>
  </si>
  <si>
    <t>Mr. K Hari Gopala Rao</t>
  </si>
  <si>
    <t>GTI</t>
  </si>
  <si>
    <t>Taxable Income</t>
  </si>
  <si>
    <t>Tax Regime</t>
  </si>
  <si>
    <t>Old</t>
  </si>
  <si>
    <t>Dr.B.Sridhar Reddy</t>
  </si>
  <si>
    <t>Dr. B Murali Krishna</t>
  </si>
  <si>
    <t>Dr. Rajat Jain</t>
  </si>
  <si>
    <t>New</t>
  </si>
  <si>
    <t>Dr. Deepak Amban Mishra</t>
  </si>
  <si>
    <t>Dr. Ranjan Pramanik</t>
  </si>
  <si>
    <t>Dr. Swambabu Varanasi</t>
  </si>
  <si>
    <t>Dr. Somnath Ghosh</t>
  </si>
  <si>
    <t>Dr. Geddada Nagesh</t>
  </si>
  <si>
    <t>Dr. Randhi Ramunaidu</t>
  </si>
  <si>
    <t>Dr. C.Veerabhadra Rao</t>
  </si>
  <si>
    <t>Dr. Kakati Himangshu</t>
  </si>
  <si>
    <t>Dr. Arun Kumar Pujari</t>
  </si>
  <si>
    <t>Dr. T Hemanth Kumar</t>
  </si>
  <si>
    <t>Dr. Chanchayya Gupta Ch</t>
  </si>
  <si>
    <t>Dr. Samala Rathan</t>
  </si>
  <si>
    <t>Dr. P Aparoy</t>
  </si>
  <si>
    <t>Dr. Shailesh Kumar</t>
  </si>
  <si>
    <t>Dr. Raka Mondal</t>
  </si>
  <si>
    <t>Dr. Sivasankar P</t>
  </si>
  <si>
    <t>Dr. Pratibha Biswal</t>
  </si>
  <si>
    <t>Dr. Dipankar Pal</t>
  </si>
  <si>
    <t>Mr. K Rama Krishna</t>
  </si>
  <si>
    <t>Mr.K Nagesh</t>
  </si>
  <si>
    <t>Consolidated Salary</t>
  </si>
  <si>
    <t>ASV Ramanan</t>
  </si>
  <si>
    <t>Manasa</t>
  </si>
  <si>
    <t xml:space="preserve">Mr.U.Rajesh Kumar </t>
  </si>
  <si>
    <t xml:space="preserve">Somnath Ghosh </t>
  </si>
  <si>
    <t>Randhi Ramunaidu</t>
  </si>
  <si>
    <t xml:space="preserve">Chanchayya Gupta </t>
  </si>
  <si>
    <t>Samala Rathan</t>
  </si>
  <si>
    <t xml:space="preserve">Shailesh Kumar </t>
  </si>
  <si>
    <t>Venkata reddy</t>
  </si>
  <si>
    <t xml:space="preserve">Name of the Employee </t>
  </si>
  <si>
    <t xml:space="preserve">Amount recovered </t>
  </si>
  <si>
    <t xml:space="preserve">Amount to be recovered </t>
  </si>
  <si>
    <t>PREPARED BY</t>
  </si>
  <si>
    <t>CHECKED BY</t>
  </si>
  <si>
    <t>( CH KALIKADEVI)</t>
  </si>
  <si>
    <t xml:space="preserve">Loan Recovery statement </t>
  </si>
  <si>
    <t>Gross salary</t>
  </si>
  <si>
    <t>HRA 18 %</t>
  </si>
  <si>
    <t>V V Sateesh Kumar Annepu</t>
  </si>
  <si>
    <t xml:space="preserve">Net Salary </t>
  </si>
  <si>
    <t>Dr.Kurada Venkata Krishnasri</t>
  </si>
  <si>
    <t>Dr.Balla Mounika</t>
  </si>
  <si>
    <t>Dr.Ravi Kumar Sonwani</t>
  </si>
  <si>
    <t xml:space="preserve">Dr.Sridhar Palla </t>
  </si>
  <si>
    <t>Mr.Jitender Kumar</t>
  </si>
  <si>
    <t>Monthly salary</t>
  </si>
  <si>
    <t xml:space="preserve">No.of days payable </t>
  </si>
  <si>
    <t>Dr.Geetanjali Chauhan</t>
  </si>
  <si>
    <t>Dr.Ambati Seshagiri Rao</t>
  </si>
  <si>
    <t>Dr.Nilanjan Pal</t>
  </si>
  <si>
    <t>Dr.Mandapaka Ravi Kiran</t>
  </si>
  <si>
    <t>Mr.Somesh Katta</t>
  </si>
  <si>
    <t>Mr.Surendra Ratnala</t>
  </si>
  <si>
    <t>Mr.Satyaprasad Yerra</t>
  </si>
  <si>
    <t>Dr.Vijaya Kumar Kopparapu</t>
  </si>
  <si>
    <t>Mr.Nulu Praveen Kumar</t>
  </si>
  <si>
    <t xml:space="preserve">Mr.Satanjee Pandey </t>
  </si>
  <si>
    <t>Dr.Sharon H</t>
  </si>
  <si>
    <t>Mr.Goru Lakshmi Papa Rao</t>
  </si>
  <si>
    <t>Mr.Bidyadhoro Majhi</t>
  </si>
  <si>
    <t>Mr.Mithun Babu Nallana</t>
  </si>
  <si>
    <t>Mr.Etteneni Nikhil Kumar</t>
  </si>
  <si>
    <t>Other deductions</t>
  </si>
  <si>
    <t>Grand Total</t>
  </si>
  <si>
    <t>Particulars</t>
  </si>
  <si>
    <t>Deductions</t>
  </si>
  <si>
    <t>2.TDS</t>
  </si>
  <si>
    <t>a.LIC Premium</t>
  </si>
  <si>
    <t>b.Licence Fee</t>
  </si>
  <si>
    <t xml:space="preserve"> APPROVED BY</t>
  </si>
  <si>
    <t>Amount  (Rs.)</t>
  </si>
  <si>
    <t>3.Professional Tax</t>
  </si>
  <si>
    <t>Contract Period</t>
  </si>
  <si>
    <t>Group Insurance</t>
  </si>
  <si>
    <t>4.Group Insurance</t>
  </si>
  <si>
    <t>Total deductions(1+2+3+4+5+6)</t>
  </si>
  <si>
    <t xml:space="preserve">Mr. T Venkata Ravi Krishna </t>
  </si>
  <si>
    <t>Mr. Genius Sanjog</t>
  </si>
  <si>
    <t>Dean / Warden Allowance</t>
  </si>
  <si>
    <t>ACCOUNTANT</t>
  </si>
  <si>
    <t>( Y RAMA RAO)</t>
  </si>
  <si>
    <t xml:space="preserve">G.Venkateswara Rao </t>
  </si>
  <si>
    <t>DA 38 %</t>
  </si>
  <si>
    <t>( K RAMA KRISHNA)</t>
  </si>
  <si>
    <t xml:space="preserve">SUPERINTENDENT - OFFICE </t>
  </si>
  <si>
    <t>( DR.B.MURALI KRISHNA)</t>
  </si>
  <si>
    <t>* With Reference  to IIPE Office orders  IIPE/Adm/126 Dated 01.12.2020 , IIPE/Adm/103 Dated:25.08.2022 &amp; IIPE/Estb/122(iii) Dated: 24.01.2023, on implementation of  officiating pay, the applicable basic pay is Rs.96,900/-.</t>
  </si>
  <si>
    <t>Salary Statement of Non Teaching Staff for the month of February' 2023 (Attendance from 26.01.2023 to 25.02.2023)</t>
  </si>
  <si>
    <t xml:space="preserve">Smt.SNV Saritha </t>
  </si>
  <si>
    <t xml:space="preserve"> Dy.REGISTRAR</t>
  </si>
  <si>
    <t>VERIFIED</t>
  </si>
  <si>
    <t>(SHRI.RAM PHAL DWIVEDI)</t>
  </si>
  <si>
    <t xml:space="preserve">                         SUPERINTENDENT (Acts)</t>
  </si>
  <si>
    <t>REGISTRAR</t>
  </si>
  <si>
    <t xml:space="preserve">Dr.Roshan Kumar Singh </t>
  </si>
  <si>
    <t>Shri.Ram Phal Dwivedi</t>
  </si>
  <si>
    <t xml:space="preserve">DA </t>
  </si>
  <si>
    <t xml:space="preserve">Employee </t>
  </si>
  <si>
    <t xml:space="preserve">Employer </t>
  </si>
  <si>
    <t xml:space="preserve">Grand Total per Month </t>
  </si>
  <si>
    <t>Grand Total upto February'2023(11Months)</t>
  </si>
  <si>
    <t>Grand Total upto March '2023(12Months)</t>
  </si>
  <si>
    <t xml:space="preserve">NPS Calculation </t>
  </si>
  <si>
    <t xml:space="preserve">Grand Total </t>
  </si>
  <si>
    <t xml:space="preserve">Particulars </t>
  </si>
  <si>
    <t>DA</t>
  </si>
  <si>
    <t>Faculty ( 27 No's)</t>
  </si>
  <si>
    <t>Staff ( 21 No's)</t>
  </si>
  <si>
    <t>Employee (10%)</t>
  </si>
  <si>
    <t>Employer(14%)</t>
  </si>
  <si>
    <t>Per Month</t>
  </si>
  <si>
    <t>Upto February'2023</t>
  </si>
  <si>
    <t>Upto March'2023</t>
  </si>
  <si>
    <t xml:space="preserve">Sports Officer </t>
  </si>
  <si>
    <t>CGHS Contribution</t>
  </si>
  <si>
    <t>Level-14</t>
  </si>
  <si>
    <t>Level-3</t>
  </si>
  <si>
    <t xml:space="preserve">Pay level </t>
  </si>
  <si>
    <t>Level-10</t>
  </si>
  <si>
    <t xml:space="preserve">Mr. K Nagesh </t>
  </si>
  <si>
    <t>Mr. U. Rambabu</t>
  </si>
  <si>
    <t>Mr. Appala Murthy N</t>
  </si>
  <si>
    <t>Mr. Somesh Katta</t>
  </si>
  <si>
    <t>Mr. Surendra Ratnala</t>
  </si>
  <si>
    <t>Mr. Nulu Praveen Kumar</t>
  </si>
  <si>
    <t>Mr. Bidyadhoro Majhi</t>
  </si>
  <si>
    <t>Mr. Sanyasi Naidu Paila</t>
  </si>
  <si>
    <t xml:space="preserve">            REGISTRAR</t>
  </si>
  <si>
    <t>1.Towards Car usage</t>
  </si>
  <si>
    <t>Associate Professor</t>
  </si>
  <si>
    <t>Professor</t>
  </si>
  <si>
    <t xml:space="preserve">Junior Assistant </t>
  </si>
  <si>
    <t>Registrar</t>
  </si>
  <si>
    <t>Assistant Engineer</t>
  </si>
  <si>
    <t>Junior Technical Officer</t>
  </si>
  <si>
    <t>Net Salary Payable</t>
  </si>
  <si>
    <t xml:space="preserve">NPS Employee share </t>
  </si>
  <si>
    <t>NPS Employer share</t>
  </si>
  <si>
    <t>NPS Employer Share</t>
  </si>
  <si>
    <t xml:space="preserve">NPS Employer share </t>
  </si>
  <si>
    <t>5.CGHS Contribution</t>
  </si>
  <si>
    <t xml:space="preserve">APPROVED/NOT APPROVED </t>
  </si>
  <si>
    <t>Employee No</t>
  </si>
  <si>
    <t>NT1022</t>
  </si>
  <si>
    <t>NT1001</t>
  </si>
  <si>
    <t>NT1002</t>
  </si>
  <si>
    <t>NT1004</t>
  </si>
  <si>
    <t>NT1005</t>
  </si>
  <si>
    <t>NT1006</t>
  </si>
  <si>
    <t>NT1007</t>
  </si>
  <si>
    <t>NT1008</t>
  </si>
  <si>
    <t>NT1012</t>
  </si>
  <si>
    <t>NT1011</t>
  </si>
  <si>
    <t>NT1013</t>
  </si>
  <si>
    <t>NT1014</t>
  </si>
  <si>
    <t>NT1015</t>
  </si>
  <si>
    <t>NT1016</t>
  </si>
  <si>
    <t>NT1018</t>
  </si>
  <si>
    <t>NT1019</t>
  </si>
  <si>
    <t>TS1032</t>
  </si>
  <si>
    <t>TS1030</t>
  </si>
  <si>
    <t>TS1002</t>
  </si>
  <si>
    <t>TS1003</t>
  </si>
  <si>
    <t>TS1004</t>
  </si>
  <si>
    <t>TS1005</t>
  </si>
  <si>
    <t>TS1006</t>
  </si>
  <si>
    <t>TS1007</t>
  </si>
  <si>
    <t>TS1008</t>
  </si>
  <si>
    <t>TS1009</t>
  </si>
  <si>
    <t>TS1010</t>
  </si>
  <si>
    <t>TS1011</t>
  </si>
  <si>
    <t>TS1012</t>
  </si>
  <si>
    <t>TS1013</t>
  </si>
  <si>
    <t>TS1020</t>
  </si>
  <si>
    <t>TS1014</t>
  </si>
  <si>
    <t>TS1019</t>
  </si>
  <si>
    <t>TS1017</t>
  </si>
  <si>
    <t>TS1016</t>
  </si>
  <si>
    <t>TS1022</t>
  </si>
  <si>
    <t>TS1021</t>
  </si>
  <si>
    <t>TS1023</t>
  </si>
  <si>
    <t xml:space="preserve">TS1024 </t>
  </si>
  <si>
    <t>TS1028</t>
  </si>
  <si>
    <t>TS1025</t>
  </si>
  <si>
    <t>TS1026</t>
  </si>
  <si>
    <t>TS1027</t>
  </si>
  <si>
    <t>TS1029</t>
  </si>
  <si>
    <t>NT1023</t>
  </si>
  <si>
    <t xml:space="preserve">6. Medical expenses recovery </t>
  </si>
  <si>
    <t>7.Amount Payable to IIT(ISM) Dhanbad</t>
  </si>
  <si>
    <t>9.GPF</t>
  </si>
  <si>
    <t xml:space="preserve">APPROVED /NOT APPROVED </t>
  </si>
  <si>
    <t>Placement officer</t>
  </si>
  <si>
    <t>TDS@194J</t>
  </si>
  <si>
    <t>TS1033</t>
  </si>
  <si>
    <t xml:space="preserve">Dr.Santosh Kumar Senapathi </t>
  </si>
  <si>
    <t>VERIFIED BY</t>
  </si>
  <si>
    <t>Net Amount</t>
  </si>
  <si>
    <t xml:space="preserve">Name </t>
  </si>
  <si>
    <t xml:space="preserve">Monthly Honorarium </t>
  </si>
  <si>
    <t>HRA 20 %</t>
  </si>
  <si>
    <t xml:space="preserve">7.Other Deductions </t>
  </si>
  <si>
    <t>Shri. Ramphal Dwivedi</t>
  </si>
  <si>
    <t>Y RAMARAO</t>
  </si>
  <si>
    <t>c.General Insurance Scheme(GIS)</t>
  </si>
  <si>
    <t xml:space="preserve">Other deductions </t>
  </si>
  <si>
    <t>Note: 1.An amount of Rs. 9,801/-( as per Sl No.8) is to be transferred to 
            IIT(ISM) Dhanbad A/c. No. 37052696309</t>
  </si>
  <si>
    <t>Medical Officer's Salary</t>
  </si>
  <si>
    <t xml:space="preserve">Dr.Priyanka Sista </t>
  </si>
  <si>
    <t xml:space="preserve">Month </t>
  </si>
  <si>
    <t>Assistant Registrar</t>
  </si>
  <si>
    <t>Joint Registrar</t>
  </si>
  <si>
    <t>Level-13</t>
  </si>
  <si>
    <t>JUNIOR SUPERINTENDENT</t>
  </si>
  <si>
    <t xml:space="preserve"> JOINT REGISTRAR</t>
  </si>
  <si>
    <t xml:space="preserve">Junior Superintendent </t>
  </si>
  <si>
    <t>ASSISTANT REGISTRAR</t>
  </si>
  <si>
    <t>Dr.Narender Pendkar</t>
  </si>
  <si>
    <t>Visiting Research Professor</t>
  </si>
  <si>
    <t>Dr.Elizabeth Eldo</t>
  </si>
  <si>
    <t xml:space="preserve">Dr.Atul K Varma </t>
  </si>
  <si>
    <t xml:space="preserve">Name of the Faculty </t>
  </si>
  <si>
    <t xml:space="preserve">Basic Pay </t>
  </si>
  <si>
    <t xml:space="preserve">Upgraded Pay </t>
  </si>
  <si>
    <t xml:space="preserve">Difference in Pay </t>
  </si>
  <si>
    <t>No.of.Days</t>
  </si>
  <si>
    <t>Proportionate Basic</t>
  </si>
  <si>
    <t xml:space="preserve">HRA </t>
  </si>
  <si>
    <t xml:space="preserve">NPS Employer </t>
  </si>
  <si>
    <t xml:space="preserve">Gross Total </t>
  </si>
  <si>
    <t xml:space="preserve">Less: NPS Employee share </t>
  </si>
  <si>
    <t xml:space="preserve">Less: NPS Employer share </t>
  </si>
  <si>
    <t xml:space="preserve">Net amount payable </t>
  </si>
  <si>
    <t>March'25</t>
  </si>
  <si>
    <t xml:space="preserve">Arrears on account of promotion </t>
  </si>
  <si>
    <t xml:space="preserve">Dr.Geddada Nagesh </t>
  </si>
  <si>
    <t>13th February 2025</t>
  </si>
  <si>
    <t xml:space="preserve">Dr.Ch.Gupta Chanduluri </t>
  </si>
  <si>
    <t>Dr.Dipankar pal</t>
  </si>
  <si>
    <t>Dr.Siva sankar</t>
  </si>
  <si>
    <t xml:space="preserve">Date of promotion </t>
  </si>
  <si>
    <t>Dr.Raka Monadal</t>
  </si>
  <si>
    <t>Senior Lab.Asst</t>
  </si>
  <si>
    <t xml:space="preserve">Senior Assistant </t>
  </si>
  <si>
    <t>(Y RAMA RAO)</t>
  </si>
  <si>
    <t xml:space="preserve">         2.An amount of Rs. 42,000/-( as per Sl No.9) is to be transferred to 
            IIT(ISM) Dhanbad A/c. No. 30018377022</t>
  </si>
  <si>
    <t xml:space="preserve">                       (CH KALIKADEVI)</t>
  </si>
  <si>
    <t>TS1034</t>
  </si>
  <si>
    <t>Sl.No</t>
  </si>
  <si>
    <t>APL 13A2</t>
  </si>
  <si>
    <t>APL 12</t>
  </si>
  <si>
    <t>APL 14A</t>
  </si>
  <si>
    <t>APL 11</t>
  </si>
  <si>
    <t>Sl.no</t>
  </si>
  <si>
    <t>TS1036</t>
  </si>
  <si>
    <t>29.08.25 to 28.08.26</t>
  </si>
  <si>
    <t>TS1037</t>
  </si>
  <si>
    <t>Dr.Juhi Chaudhary</t>
  </si>
  <si>
    <t>15.09.2025 to 14.09.2026</t>
  </si>
  <si>
    <t>DA @ 58% of Basic</t>
  </si>
  <si>
    <t>TS1038</t>
  </si>
  <si>
    <t>Dr.Ganesh Kumar</t>
  </si>
  <si>
    <t>Salary Statement of Shri.P.V.Narayana Rao, Superintendent Engineer - IIPE for the month of October'2025</t>
  </si>
  <si>
    <t xml:space="preserve">TA </t>
  </si>
  <si>
    <t>Professional Tax</t>
  </si>
  <si>
    <t xml:space="preserve">Medical expenses recovery </t>
  </si>
  <si>
    <t>NPS Employee share</t>
  </si>
  <si>
    <t>Total Deductiosns (a+b+c+d+e+f)</t>
  </si>
  <si>
    <t>JS:</t>
  </si>
  <si>
    <t>AR:</t>
  </si>
  <si>
    <t>RG:</t>
  </si>
  <si>
    <t>Month</t>
  </si>
  <si>
    <t>DA @ 58%</t>
  </si>
  <si>
    <t>DA Arrears</t>
  </si>
  <si>
    <t>Indian Institute of Petroleum and Energy</t>
  </si>
  <si>
    <t>Dr.Subham Bose</t>
  </si>
  <si>
    <t>Basic Pay</t>
  </si>
  <si>
    <t>Basic for allowances</t>
  </si>
  <si>
    <t xml:space="preserve">Gross Salary </t>
  </si>
  <si>
    <t xml:space="preserve">Less:NPS Employee Share </t>
  </si>
  <si>
    <t>Incremental Basic</t>
  </si>
  <si>
    <t xml:space="preserve">CGHS </t>
  </si>
  <si>
    <t>Statement of salary of Shri P V Narayana Rao As per the office order no. IIPE/Estb/Pay-Fixation/NTS1024 Dt: 31.10.2025</t>
  </si>
  <si>
    <t>Basic for Allowances</t>
  </si>
  <si>
    <t>HRA @ 20%</t>
  </si>
  <si>
    <t>TA (Transport Allowance)</t>
  </si>
  <si>
    <t>Less: NPS Employee Share</t>
  </si>
  <si>
    <t>–</t>
  </si>
  <si>
    <t>CGHS</t>
  </si>
  <si>
    <t>Net Amount Payable</t>
  </si>
  <si>
    <t>Indian Institute of Petroleum and Energy (IIPE)</t>
  </si>
  <si>
    <t>Statement of Salary of Shri P. V. Narayana Rao</t>
  </si>
  <si>
    <t>As per Office Order No. IIPE/Estb/Pay-Fixation/NTS1024 dated 31.10.2025</t>
  </si>
  <si>
    <t>October'2025</t>
  </si>
  <si>
    <t>September'2025 (for 7 Days)</t>
  </si>
  <si>
    <t>(Y RAMARAO)</t>
  </si>
  <si>
    <t xml:space="preserve">Total Amount Payable </t>
  </si>
  <si>
    <t>Shri P V Narayana Rao</t>
  </si>
  <si>
    <t xml:space="preserve">Superintendent Engineer </t>
  </si>
  <si>
    <t>NT1024</t>
  </si>
  <si>
    <t>Petrol/Mileage Allowance</t>
  </si>
  <si>
    <t>Dr.Rishabh Tripathi</t>
  </si>
  <si>
    <t>31.10.25 to 30.10.26</t>
  </si>
  <si>
    <t>APL12</t>
  </si>
  <si>
    <t>Dr. Satyaprasad Yerra</t>
  </si>
  <si>
    <t>06.10.2025 to 05.10.2026</t>
  </si>
  <si>
    <t>Dr.Seekala Haritha</t>
  </si>
  <si>
    <t>07.01.2026 to 06.01.2027</t>
  </si>
  <si>
    <t>06.01.26 to 05.01.27</t>
  </si>
  <si>
    <t xml:space="preserve">Gross salary </t>
  </si>
  <si>
    <t>Less:</t>
  </si>
  <si>
    <t xml:space="preserve">Amount </t>
  </si>
  <si>
    <t>Joining time pay for the period 25.02.2023 to 26.02.2023 in respect of Shri Ramphal Dwivedi - Registrar</t>
  </si>
  <si>
    <t>Basic pay - Rs.151400/-</t>
  </si>
  <si>
    <t>DA@ 42%</t>
  </si>
  <si>
    <t>HRA @ 18%</t>
  </si>
  <si>
    <t>Dr.Ranju M.R</t>
  </si>
  <si>
    <t>Dean/Warden Allowance</t>
  </si>
  <si>
    <t>20.02.2026 to 19.02.2027</t>
  </si>
  <si>
    <t xml:space="preserve">Dr.Sundaram Buchaiah </t>
  </si>
  <si>
    <t>Dr.Jitender Kumar</t>
  </si>
  <si>
    <t>Deputy Librarian</t>
  </si>
  <si>
    <t>APL 13A</t>
  </si>
  <si>
    <t>8.Sub total (a+b+c)</t>
  </si>
  <si>
    <t>02.06.2025 to 01.05.2026 &amp; 02.05.2026 to 31.07.2026</t>
  </si>
  <si>
    <t>TA( Rs.3600+ * DA@60%)</t>
  </si>
  <si>
    <t>DA 60%</t>
  </si>
  <si>
    <t>DA @ 60% of Basic</t>
  </si>
  <si>
    <t>08.06.2025 to 07.05.2026 &amp; 09.05.2026 to 08.05.2027</t>
  </si>
  <si>
    <t>09.05.2025 to 08.04.2026 &amp; 10.04.2026 to 09.04.2027</t>
  </si>
  <si>
    <t>08.06.2025 to 07.05.2026 &amp;09.05.2026 to 08.05.2027</t>
  </si>
  <si>
    <t>APL 13A1</t>
  </si>
  <si>
    <t>Mr.Sachidananda Rath (Joined on 21.05.2026)</t>
  </si>
  <si>
    <t>NT1025</t>
  </si>
  <si>
    <t>(Ch KALIKA DEVI)</t>
  </si>
  <si>
    <t>Jr SUPERINTENDENT</t>
  </si>
  <si>
    <t>NT1026</t>
  </si>
  <si>
    <t>Jr SUPTD</t>
  </si>
  <si>
    <t>DEPUTY REGISTRAR</t>
  </si>
  <si>
    <t xml:space="preserve">Mr.Sachidananda Rath </t>
  </si>
  <si>
    <t xml:space="preserve">Dr.Aditya Kumar Singh </t>
  </si>
  <si>
    <t>( SATYANARAYAN MOHANTY)</t>
  </si>
  <si>
    <t>NTS1027</t>
  </si>
  <si>
    <t>Deputy Registrar (F&amp;A)</t>
  </si>
  <si>
    <t>Dr.Shamiksha</t>
  </si>
  <si>
    <t xml:space="preserve">Visiting Assistant Professor(G-II) </t>
  </si>
  <si>
    <t xml:space="preserve">                                                            INDIAN INSTITUTE OF PETROLEUM AND ENERGY </t>
  </si>
  <si>
    <t xml:space="preserve">                                                  INDIAN INSTITUTE OF PETROLEUM AND ENERGY </t>
  </si>
  <si>
    <t>27.07.2026 to 26.06.2027</t>
  </si>
  <si>
    <t>* Rs.5760/- is deducted towards the Transport allowance for the month of June'26</t>
  </si>
  <si>
    <t>26.02.2026 to 25.02.2027</t>
  </si>
  <si>
    <t>Shri.Satya Narayan Mohanty</t>
  </si>
  <si>
    <t>ASSISTANT REGISTRAR (F&amp;A)</t>
  </si>
  <si>
    <t>Salary Statement of Contract Staff - Non Teaching  for the month of August'26</t>
  </si>
  <si>
    <t>Salary Statement of Contract Staff - Teaching  for the month of August'26</t>
  </si>
  <si>
    <t xml:space="preserve">                                                         Salary Statement of Faculty for the month of August'26</t>
  </si>
  <si>
    <t>Salary Statement of Non Teaching Staff for the month of August 26</t>
  </si>
  <si>
    <t>Salary Statement of Prof. Shalivahan, Director - IIPE for the month of August'2026</t>
  </si>
  <si>
    <t>August'26</t>
  </si>
  <si>
    <t>Level 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</si>
</sst>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Book Antiqua"/>
      <family val="1"/>
    </font>
    <font>
      <b/>
      <sz val="12"/>
      <color rgb="FF000000"/>
      <name val="Book Antiqua"/>
      <family val="1"/>
    </font>
    <font>
      <sz val="12"/>
      <color theme="1"/>
      <name val="Book Antiqua"/>
      <family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Bookman Old Style"/>
      <family val="1"/>
    </font>
    <font>
      <b/>
      <sz val="12"/>
      <name val="Bookman Old Style"/>
      <family val="1"/>
    </font>
    <font>
      <b/>
      <sz val="12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2"/>
      <color theme="0"/>
      <name val="Bookman Old Style"/>
      <family val="1"/>
    </font>
    <font>
      <sz val="11"/>
      <color theme="1"/>
      <name val="Tahoma"/>
      <family val="2"/>
    </font>
    <font>
      <sz val="11"/>
      <name val="Bookman Old Style"/>
      <family val="1"/>
    </font>
    <font>
      <sz val="16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sz val="18"/>
      <color theme="1"/>
      <name val="Tahoma"/>
      <family val="2"/>
    </font>
    <font>
      <sz val="18"/>
      <color theme="1"/>
      <name val="Tahoma"/>
      <family val="2"/>
    </font>
    <font>
      <sz val="18"/>
      <name val="Tahoma"/>
      <family val="2"/>
    </font>
    <font>
      <b/>
      <sz val="19"/>
      <color theme="1"/>
      <name val="Tahoma"/>
      <family val="2"/>
    </font>
    <font>
      <sz val="19"/>
      <name val="Tahoma"/>
      <family val="2"/>
    </font>
    <font>
      <sz val="19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2"/>
      <color rgb="FF000000"/>
      <name val="Tahoma"/>
      <family val="2"/>
    </font>
    <font>
      <sz val="18"/>
      <color theme="1"/>
      <name val="Bookman Old Style"/>
      <family val="1"/>
    </font>
    <font>
      <b/>
      <sz val="2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10" fillId="0" borderId="0"/>
    <xf numFmtId="0" fontId="35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</cellStyleXfs>
  <cellXfs count="436">
    <xf numFmtId="0" fontId="0" fillId="0" borderId="0" xfId="0"/>
    <xf numFmtId="0" fontId="2" fillId="3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0" fontId="0" fillId="0" borderId="17" xfId="0" applyBorder="1" applyAlignment="1">
      <alignment wrapText="1"/>
    </xf>
    <xf numFmtId="3" fontId="0" fillId="0" borderId="17" xfId="0" applyNumberFormat="1" applyBorder="1" applyAlignment="1">
      <alignment vertical="center" wrapText="1"/>
    </xf>
    <xf numFmtId="0" fontId="0" fillId="0" borderId="17" xfId="0" applyBorder="1" applyAlignment="1">
      <alignment horizontal="right" wrapText="1"/>
    </xf>
    <xf numFmtId="0" fontId="5" fillId="0" borderId="17" xfId="0" applyFont="1" applyBorder="1" applyAlignment="1">
      <alignment vertical="center" wrapText="1"/>
    </xf>
    <xf numFmtId="0" fontId="5" fillId="4" borderId="17" xfId="0" applyFont="1" applyFill="1" applyBorder="1" applyAlignment="1">
      <alignment vertical="center" wrapText="1"/>
    </xf>
    <xf numFmtId="3" fontId="0" fillId="4" borderId="17" xfId="0" applyNumberFormat="1" applyFill="1" applyBorder="1" applyAlignment="1">
      <alignment horizontal="right" vertical="center" wrapText="1"/>
    </xf>
    <xf numFmtId="0" fontId="0" fillId="4" borderId="17" xfId="0" applyFill="1" applyBorder="1" applyAlignment="1">
      <alignment horizontal="right" wrapText="1"/>
    </xf>
    <xf numFmtId="0" fontId="0" fillId="4" borderId="17" xfId="0" applyFill="1" applyBorder="1" applyAlignment="1">
      <alignment wrapText="1"/>
    </xf>
    <xf numFmtId="0" fontId="6" fillId="4" borderId="17" xfId="0" applyFont="1" applyFill="1" applyBorder="1" applyAlignment="1">
      <alignment wrapText="1"/>
    </xf>
    <xf numFmtId="0" fontId="6" fillId="4" borderId="17" xfId="0" applyFont="1" applyFill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3" fontId="0" fillId="0" borderId="17" xfId="0" applyNumberFormat="1" applyBorder="1" applyAlignment="1">
      <alignment horizontal="right" vertical="center" wrapText="1"/>
    </xf>
    <xf numFmtId="0" fontId="0" fillId="0" borderId="16" xfId="0" applyBorder="1" applyAlignment="1">
      <alignment vertical="center" wrapText="1"/>
    </xf>
    <xf numFmtId="3" fontId="2" fillId="0" borderId="17" xfId="0" applyNumberFormat="1" applyFont="1" applyBorder="1" applyAlignment="1">
      <alignment horizontal="right" vertical="center" wrapText="1"/>
    </xf>
    <xf numFmtId="0" fontId="0" fillId="0" borderId="16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right"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1" xfId="0" applyBorder="1" applyAlignment="1">
      <alignment horizontal="right" wrapText="1"/>
    </xf>
    <xf numFmtId="0" fontId="0" fillId="0" borderId="4" xfId="0" applyBorder="1"/>
    <xf numFmtId="0" fontId="0" fillId="0" borderId="4" xfId="0" applyBorder="1" applyAlignment="1">
      <alignment vertical="center" wrapText="1"/>
    </xf>
    <xf numFmtId="166" fontId="2" fillId="3" borderId="15" xfId="1" applyNumberFormat="1" applyFont="1" applyFill="1" applyBorder="1" applyAlignment="1">
      <alignment horizontal="center" vertical="center" wrapText="1"/>
    </xf>
    <xf numFmtId="166" fontId="0" fillId="0" borderId="17" xfId="1" applyNumberFormat="1" applyFont="1" applyBorder="1" applyAlignment="1">
      <alignment horizontal="right" wrapText="1"/>
    </xf>
    <xf numFmtId="166" fontId="0" fillId="4" borderId="17" xfId="1" applyNumberFormat="1" applyFont="1" applyFill="1" applyBorder="1" applyAlignment="1">
      <alignment horizontal="right" wrapText="1"/>
    </xf>
    <xf numFmtId="166" fontId="2" fillId="0" borderId="17" xfId="1" applyNumberFormat="1" applyFont="1" applyBorder="1" applyAlignment="1">
      <alignment horizontal="right" vertical="center" wrapText="1"/>
    </xf>
    <xf numFmtId="166" fontId="0" fillId="0" borderId="18" xfId="1" applyNumberFormat="1" applyFont="1" applyBorder="1" applyAlignment="1">
      <alignment wrapText="1"/>
    </xf>
    <xf numFmtId="166" fontId="2" fillId="0" borderId="19" xfId="1" applyNumberFormat="1" applyFont="1" applyBorder="1" applyAlignment="1">
      <alignment horizontal="right" vertical="center" wrapText="1"/>
    </xf>
    <xf numFmtId="166" fontId="0" fillId="0" borderId="0" xfId="1" applyNumberFormat="1" applyFont="1"/>
    <xf numFmtId="0" fontId="0" fillId="3" borderId="16" xfId="0" applyFill="1" applyBorder="1" applyAlignment="1">
      <alignment horizontal="right" wrapText="1"/>
    </xf>
    <xf numFmtId="0" fontId="4" fillId="0" borderId="16" xfId="0" applyFont="1" applyBorder="1" applyAlignment="1">
      <alignment horizontal="right" wrapText="1"/>
    </xf>
    <xf numFmtId="0" fontId="8" fillId="0" borderId="22" xfId="0" applyFont="1" applyBorder="1" applyAlignment="1">
      <alignment wrapText="1"/>
    </xf>
    <xf numFmtId="17" fontId="8" fillId="0" borderId="23" xfId="0" applyNumberFormat="1" applyFont="1" applyBorder="1"/>
    <xf numFmtId="0" fontId="8" fillId="0" borderId="24" xfId="0" applyFont="1" applyBorder="1" applyAlignment="1">
      <alignment wrapText="1"/>
    </xf>
    <xf numFmtId="0" fontId="8" fillId="0" borderId="25" xfId="0" applyFont="1" applyBorder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1" fillId="0" borderId="0" xfId="0" applyFont="1" applyAlignment="1">
      <alignment vertical="center"/>
    </xf>
    <xf numFmtId="0" fontId="11" fillId="0" borderId="0" xfId="0" applyFont="1"/>
    <xf numFmtId="0" fontId="12" fillId="0" borderId="4" xfId="0" applyFont="1" applyBorder="1" applyAlignment="1">
      <alignment horizontal="center" vertical="center"/>
    </xf>
    <xf numFmtId="165" fontId="14" fillId="0" borderId="2" xfId="1" applyNumberFormat="1" applyFont="1" applyFill="1" applyBorder="1" applyAlignment="1">
      <alignment horizontal="right" vertical="center"/>
    </xf>
    <xf numFmtId="165" fontId="14" fillId="0" borderId="11" xfId="1" applyNumberFormat="1" applyFont="1" applyFill="1" applyBorder="1" applyAlignment="1">
      <alignment horizontal="right" vertical="center"/>
    </xf>
    <xf numFmtId="165" fontId="14" fillId="0" borderId="12" xfId="1" applyNumberFormat="1" applyFont="1" applyFill="1" applyBorder="1" applyAlignment="1">
      <alignment horizontal="right" vertical="center"/>
    </xf>
    <xf numFmtId="165" fontId="14" fillId="0" borderId="4" xfId="1" applyNumberFormat="1" applyFont="1" applyFill="1" applyBorder="1" applyAlignment="1">
      <alignment horizontal="right" vertical="center"/>
    </xf>
    <xf numFmtId="0" fontId="14" fillId="0" borderId="3" xfId="0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65" fontId="14" fillId="0" borderId="3" xfId="1" applyNumberFormat="1" applyFont="1" applyFill="1" applyBorder="1" applyAlignment="1">
      <alignment horizontal="right" vertical="center"/>
    </xf>
    <xf numFmtId="165" fontId="14" fillId="0" borderId="13" xfId="1" applyNumberFormat="1" applyFont="1" applyFill="1" applyBorder="1" applyAlignment="1">
      <alignment horizontal="right" vertical="center"/>
    </xf>
    <xf numFmtId="0" fontId="14" fillId="0" borderId="7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165" fontId="14" fillId="0" borderId="6" xfId="1" applyNumberFormat="1" applyFon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/>
    </xf>
    <xf numFmtId="14" fontId="14" fillId="0" borderId="9" xfId="0" applyNumberFormat="1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5" fontId="14" fillId="0" borderId="9" xfId="1" applyNumberFormat="1" applyFont="1" applyFill="1" applyBorder="1" applyAlignment="1">
      <alignment horizontal="right" vertical="center"/>
    </xf>
    <xf numFmtId="165" fontId="14" fillId="0" borderId="31" xfId="1" applyNumberFormat="1" applyFont="1" applyFill="1" applyBorder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165" fontId="12" fillId="0" borderId="4" xfId="1" applyNumberFormat="1" applyFont="1" applyFill="1" applyBorder="1" applyAlignment="1">
      <alignment horizontal="right" vertical="center"/>
    </xf>
    <xf numFmtId="165" fontId="11" fillId="0" borderId="0" xfId="0" applyNumberFormat="1" applyFont="1"/>
    <xf numFmtId="43" fontId="12" fillId="0" borderId="0" xfId="0" quotePrefix="1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165" fontId="11" fillId="0" borderId="4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left"/>
    </xf>
    <xf numFmtId="0" fontId="14" fillId="0" borderId="4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7" fillId="0" borderId="0" xfId="0" applyFont="1" applyAlignment="1">
      <alignment vertical="center"/>
    </xf>
    <xf numFmtId="0" fontId="17" fillId="0" borderId="0" xfId="0" applyFont="1"/>
    <xf numFmtId="0" fontId="12" fillId="0" borderId="4" xfId="0" applyFont="1" applyFill="1" applyBorder="1" applyAlignment="1">
      <alignment horizontal="center" vertical="center" wrapText="1"/>
    </xf>
    <xf numFmtId="43" fontId="12" fillId="0" borderId="0" xfId="0" quotePrefix="1" applyNumberFormat="1" applyFont="1" applyFill="1" applyAlignment="1">
      <alignment horizontal="center" vertical="center"/>
    </xf>
    <xf numFmtId="0" fontId="11" fillId="0" borderId="0" xfId="0" applyFont="1" applyFill="1"/>
    <xf numFmtId="0" fontId="14" fillId="0" borderId="4" xfId="0" applyFont="1" applyFill="1" applyBorder="1" applyAlignment="1">
      <alignment horizontal="left" vertical="center" wrapText="1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Fill="1"/>
    <xf numFmtId="0" fontId="14" fillId="0" borderId="2" xfId="0" applyFont="1" applyFill="1" applyBorder="1" applyAlignment="1">
      <alignment horizontal="center" vertical="center"/>
    </xf>
    <xf numFmtId="14" fontId="14" fillId="0" borderId="2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42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 wrapText="1"/>
    </xf>
    <xf numFmtId="165" fontId="14" fillId="0" borderId="41" xfId="1" applyNumberFormat="1" applyFont="1" applyFill="1" applyBorder="1" applyAlignment="1">
      <alignment horizontal="right" vertical="center"/>
    </xf>
    <xf numFmtId="0" fontId="14" fillId="0" borderId="4" xfId="0" applyFont="1" applyFill="1" applyBorder="1" applyAlignment="1">
      <alignment horizontal="right" vertical="center" wrapText="1"/>
    </xf>
    <xf numFmtId="165" fontId="14" fillId="0" borderId="43" xfId="1" applyNumberFormat="1" applyFont="1" applyFill="1" applyBorder="1" applyAlignment="1">
      <alignment horizontal="right" vertical="center"/>
    </xf>
    <xf numFmtId="43" fontId="12" fillId="0" borderId="4" xfId="0" applyNumberFormat="1" applyFont="1" applyBorder="1" applyAlignment="1">
      <alignment horizontal="right" vertical="center"/>
    </xf>
    <xf numFmtId="0" fontId="19" fillId="2" borderId="4" xfId="0" applyFont="1" applyFill="1" applyBorder="1" applyAlignment="1">
      <alignment horizontal="left" vertical="center" wrapText="1"/>
    </xf>
    <xf numFmtId="0" fontId="14" fillId="0" borderId="12" xfId="0" applyFont="1" applyFill="1" applyBorder="1" applyAlignment="1">
      <alignment horizontal="left" vertical="center" wrapText="1"/>
    </xf>
    <xf numFmtId="165" fontId="11" fillId="0" borderId="12" xfId="1" applyNumberFormat="1" applyFont="1" applyFill="1" applyBorder="1" applyAlignment="1">
      <alignment horizontal="righ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12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165" fontId="13" fillId="0" borderId="4" xfId="1" applyNumberFormat="1" applyFont="1" applyFill="1" applyBorder="1" applyAlignment="1">
      <alignment horizontal="right" vertical="center"/>
    </xf>
    <xf numFmtId="0" fontId="8" fillId="0" borderId="4" xfId="0" applyFont="1" applyBorder="1"/>
    <xf numFmtId="166" fontId="11" fillId="0" borderId="0" xfId="0" applyNumberFormat="1" applyFont="1"/>
    <xf numFmtId="0" fontId="21" fillId="0" borderId="0" xfId="0" applyFont="1" applyFill="1"/>
    <xf numFmtId="0" fontId="23" fillId="0" borderId="22" xfId="0" applyFont="1" applyBorder="1"/>
    <xf numFmtId="0" fontId="23" fillId="0" borderId="25" xfId="0" applyFont="1" applyBorder="1" applyAlignment="1">
      <alignment horizontal="center"/>
    </xf>
    <xf numFmtId="0" fontId="24" fillId="0" borderId="26" xfId="0" applyFont="1" applyBorder="1"/>
    <xf numFmtId="166" fontId="24" fillId="0" borderId="27" xfId="1" applyNumberFormat="1" applyFont="1" applyFill="1" applyBorder="1" applyAlignment="1">
      <alignment horizontal="center"/>
    </xf>
    <xf numFmtId="166" fontId="23" fillId="0" borderId="27" xfId="1" applyNumberFormat="1" applyFont="1" applyFill="1" applyBorder="1" applyAlignment="1">
      <alignment horizontal="center"/>
    </xf>
    <xf numFmtId="0" fontId="25" fillId="0" borderId="26" xfId="0" applyFont="1" applyBorder="1"/>
    <xf numFmtId="0" fontId="23" fillId="0" borderId="26" xfId="0" applyFont="1" applyBorder="1" applyAlignment="1">
      <alignment wrapText="1"/>
    </xf>
    <xf numFmtId="0" fontId="23" fillId="0" borderId="26" xfId="0" applyFont="1" applyBorder="1"/>
    <xf numFmtId="0" fontId="23" fillId="0" borderId="28" xfId="0" applyFont="1" applyBorder="1"/>
    <xf numFmtId="166" fontId="23" fillId="0" borderId="30" xfId="1" applyNumberFormat="1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vertical="center"/>
    </xf>
    <xf numFmtId="0" fontId="24" fillId="0" borderId="0" xfId="0" quotePrefix="1" applyFont="1" applyAlignment="1">
      <alignment horizontal="left" vertical="top"/>
    </xf>
    <xf numFmtId="0" fontId="24" fillId="0" borderId="0" xfId="0" quotePrefix="1" applyFont="1" applyAlignment="1">
      <alignment horizontal="right" vertical="center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right" vertical="center"/>
    </xf>
    <xf numFmtId="0" fontId="27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quotePrefix="1" applyFont="1" applyFill="1" applyAlignment="1">
      <alignment horizontal="left"/>
    </xf>
    <xf numFmtId="165" fontId="27" fillId="0" borderId="4" xfId="0" applyNumberFormat="1" applyFont="1" applyFill="1" applyBorder="1" applyAlignment="1">
      <alignment horizontal="center" vertical="center"/>
    </xf>
    <xf numFmtId="0" fontId="27" fillId="0" borderId="0" xfId="0" applyFont="1" applyFill="1"/>
    <xf numFmtId="0" fontId="27" fillId="0" borderId="0" xfId="0" applyFont="1" applyBorder="1"/>
    <xf numFmtId="0" fontId="23" fillId="0" borderId="0" xfId="0" applyFont="1" applyBorder="1" applyAlignment="1">
      <alignment wrapText="1"/>
    </xf>
    <xf numFmtId="166" fontId="23" fillId="0" borderId="0" xfId="1" applyNumberFormat="1" applyFont="1" applyFill="1" applyBorder="1" applyAlignment="1">
      <alignment horizontal="center"/>
    </xf>
    <xf numFmtId="43" fontId="26" fillId="0" borderId="0" xfId="0" applyNumberFormat="1" applyFont="1" applyBorder="1" applyAlignment="1">
      <alignment horizontal="center" vertical="center"/>
    </xf>
    <xf numFmtId="165" fontId="26" fillId="0" borderId="0" xfId="0" applyNumberFormat="1" applyFont="1" applyBorder="1" applyAlignment="1">
      <alignment horizontal="right" vertical="center"/>
    </xf>
    <xf numFmtId="165" fontId="30" fillId="0" borderId="4" xfId="0" applyNumberFormat="1" applyFont="1" applyFill="1" applyBorder="1" applyAlignment="1">
      <alignment horizontal="center" vertical="center"/>
    </xf>
    <xf numFmtId="0" fontId="24" fillId="0" borderId="26" xfId="0" applyFont="1" applyFill="1" applyBorder="1"/>
    <xf numFmtId="0" fontId="24" fillId="0" borderId="0" xfId="0" quotePrefix="1" applyFont="1" applyAlignment="1">
      <alignment horizontal="right" vertical="top"/>
    </xf>
    <xf numFmtId="0" fontId="6" fillId="0" borderId="0" xfId="0" applyFont="1"/>
    <xf numFmtId="0" fontId="33" fillId="0" borderId="4" xfId="0" applyFont="1" applyFill="1" applyBorder="1" applyAlignment="1">
      <alignment horizontal="left" vertical="center" wrapText="1"/>
    </xf>
    <xf numFmtId="0" fontId="33" fillId="0" borderId="4" xfId="0" applyFont="1" applyFill="1" applyBorder="1" applyAlignment="1">
      <alignment vertical="center"/>
    </xf>
    <xf numFmtId="0" fontId="32" fillId="0" borderId="35" xfId="0" applyFont="1" applyFill="1" applyBorder="1" applyAlignment="1">
      <alignment horizontal="left" vertical="center" wrapText="1"/>
    </xf>
    <xf numFmtId="0" fontId="32" fillId="0" borderId="4" xfId="0" applyFont="1" applyFill="1" applyBorder="1" applyAlignment="1">
      <alignment horizontal="left" vertical="center" wrapText="1"/>
    </xf>
    <xf numFmtId="0" fontId="32" fillId="0" borderId="4" xfId="0" applyFont="1" applyFill="1" applyBorder="1" applyAlignment="1">
      <alignment vertical="center"/>
    </xf>
    <xf numFmtId="0" fontId="33" fillId="0" borderId="35" xfId="0" applyFont="1" applyFill="1" applyBorder="1" applyAlignment="1">
      <alignment horizontal="left" vertical="center" wrapText="1"/>
    </xf>
    <xf numFmtId="0" fontId="23" fillId="0" borderId="4" xfId="0" applyFont="1" applyFill="1" applyBorder="1" applyAlignment="1">
      <alignment horizontal="left" vertical="center"/>
    </xf>
    <xf numFmtId="0" fontId="32" fillId="0" borderId="12" xfId="0" applyFont="1" applyFill="1" applyBorder="1" applyAlignment="1">
      <alignment horizontal="left" vertical="center" wrapText="1"/>
    </xf>
    <xf numFmtId="0" fontId="32" fillId="0" borderId="12" xfId="0" applyFont="1" applyFill="1" applyBorder="1" applyAlignment="1">
      <alignment vertical="center" wrapText="1"/>
    </xf>
    <xf numFmtId="0" fontId="34" fillId="0" borderId="0" xfId="0" applyFont="1"/>
    <xf numFmtId="0" fontId="6" fillId="0" borderId="0" xfId="0" applyFont="1" applyAlignment="1">
      <alignment wrapText="1"/>
    </xf>
    <xf numFmtId="0" fontId="33" fillId="0" borderId="4" xfId="0" applyFont="1" applyFill="1" applyBorder="1" applyAlignment="1">
      <alignment horizontal="left" vertical="center" wrapText="1"/>
    </xf>
    <xf numFmtId="0" fontId="33" fillId="0" borderId="4" xfId="0" applyFont="1" applyFill="1" applyBorder="1" applyAlignment="1">
      <alignment vertical="center" wrapText="1"/>
    </xf>
    <xf numFmtId="0" fontId="6" fillId="0" borderId="0" xfId="0" applyFont="1" applyAlignment="1"/>
    <xf numFmtId="0" fontId="0" fillId="0" borderId="0" xfId="0" applyAlignment="1"/>
    <xf numFmtId="0" fontId="27" fillId="0" borderId="0" xfId="0" applyFont="1" applyFill="1" applyAlignment="1">
      <alignment horizontal="left"/>
    </xf>
    <xf numFmtId="43" fontId="26" fillId="0" borderId="0" xfId="0" applyNumberFormat="1" applyFont="1" applyBorder="1" applyAlignment="1">
      <alignment horizontal="left" vertical="center"/>
    </xf>
    <xf numFmtId="0" fontId="11" fillId="0" borderId="0" xfId="0" applyFont="1" applyFill="1" applyAlignment="1"/>
    <xf numFmtId="43" fontId="29" fillId="0" borderId="0" xfId="0" applyNumberFormat="1" applyFont="1" applyBorder="1" applyAlignment="1">
      <alignment horizontal="center" vertical="center"/>
    </xf>
    <xf numFmtId="165" fontId="29" fillId="0" borderId="0" xfId="0" applyNumberFormat="1" applyFont="1" applyBorder="1" applyAlignment="1">
      <alignment horizontal="right" vertical="center"/>
    </xf>
    <xf numFmtId="0" fontId="30" fillId="0" borderId="26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vertical="center"/>
    </xf>
    <xf numFmtId="0" fontId="20" fillId="0" borderId="0" xfId="0" applyFont="1" applyFill="1" applyAlignment="1">
      <alignment vertical="center" wrapText="1"/>
    </xf>
    <xf numFmtId="165" fontId="20" fillId="0" borderId="0" xfId="0" applyNumberFormat="1" applyFont="1" applyFill="1" applyAlignment="1">
      <alignment vertical="center"/>
    </xf>
    <xf numFmtId="0" fontId="20" fillId="0" borderId="0" xfId="0" applyFont="1" applyFill="1" applyAlignment="1">
      <alignment horizontal="left" vertical="center"/>
    </xf>
    <xf numFmtId="0" fontId="24" fillId="0" borderId="0" xfId="0" applyFont="1" applyFill="1" applyBorder="1" applyAlignment="1">
      <alignment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vertical="center" wrapText="1"/>
    </xf>
    <xf numFmtId="0" fontId="24" fillId="0" borderId="0" xfId="0" applyFont="1" applyFill="1" applyBorder="1"/>
    <xf numFmtId="0" fontId="24" fillId="0" borderId="0" xfId="0" applyFont="1" applyFill="1" applyAlignment="1"/>
    <xf numFmtId="0" fontId="24" fillId="0" borderId="0" xfId="0" applyFont="1" applyFill="1" applyAlignment="1">
      <alignment wrapText="1"/>
    </xf>
    <xf numFmtId="0" fontId="24" fillId="0" borderId="0" xfId="0" applyFont="1" applyFill="1" applyBorder="1" applyAlignment="1">
      <alignment horizontal="left"/>
    </xf>
    <xf numFmtId="0" fontId="24" fillId="0" borderId="4" xfId="0" applyFont="1" applyFill="1" applyBorder="1" applyAlignment="1">
      <alignment vertical="center" wrapText="1"/>
    </xf>
    <xf numFmtId="165" fontId="24" fillId="0" borderId="4" xfId="1" applyNumberFormat="1" applyFont="1" applyFill="1" applyBorder="1" applyAlignment="1">
      <alignment horizontal="right" vertical="center"/>
    </xf>
    <xf numFmtId="0" fontId="24" fillId="0" borderId="0" xfId="0" applyFont="1" applyFill="1" applyAlignment="1">
      <alignment horizontal="left" vertical="center"/>
    </xf>
    <xf numFmtId="0" fontId="24" fillId="0" borderId="0" xfId="0" quotePrefix="1" applyFont="1" applyFill="1" applyAlignment="1">
      <alignment horizontal="left" vertical="top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left"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165" fontId="26" fillId="0" borderId="4" xfId="0" applyNumberFormat="1" applyFont="1" applyBorder="1" applyAlignment="1">
      <alignment horizontal="right" vertical="center"/>
    </xf>
    <xf numFmtId="165" fontId="26" fillId="0" borderId="4" xfId="0" applyNumberFormat="1" applyFont="1" applyBorder="1" applyAlignment="1">
      <alignment horizontal="left" vertical="center"/>
    </xf>
    <xf numFmtId="0" fontId="27" fillId="0" borderId="4" xfId="0" applyFont="1" applyFill="1" applyBorder="1" applyAlignment="1">
      <alignment horizontal="left" vertical="center"/>
    </xf>
    <xf numFmtId="165" fontId="28" fillId="0" borderId="4" xfId="0" applyNumberFormat="1" applyFont="1" applyFill="1" applyBorder="1" applyAlignment="1">
      <alignment horizontal="right"/>
    </xf>
    <xf numFmtId="165" fontId="27" fillId="0" borderId="4" xfId="0" applyNumberFormat="1" applyFont="1" applyFill="1" applyBorder="1" applyAlignment="1">
      <alignment horizontal="right"/>
    </xf>
    <xf numFmtId="165" fontId="27" fillId="0" borderId="4" xfId="0" applyNumberFormat="1" applyFont="1" applyBorder="1" applyAlignment="1">
      <alignment horizontal="right"/>
    </xf>
    <xf numFmtId="0" fontId="28" fillId="0" borderId="4" xfId="0" applyFont="1" applyFill="1" applyBorder="1" applyAlignment="1">
      <alignment horizontal="center"/>
    </xf>
    <xf numFmtId="0" fontId="28" fillId="0" borderId="4" xfId="0" applyFont="1" applyFill="1" applyBorder="1" applyAlignment="1">
      <alignment horizontal="left" wrapText="1"/>
    </xf>
    <xf numFmtId="0" fontId="27" fillId="0" borderId="4" xfId="0" applyFont="1" applyFill="1" applyBorder="1" applyAlignment="1">
      <alignment horizontal="left" wrapText="1"/>
    </xf>
    <xf numFmtId="165" fontId="27" fillId="0" borderId="0" xfId="0" applyNumberFormat="1" applyFont="1" applyFill="1"/>
    <xf numFmtId="0" fontId="27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28" fillId="0" borderId="4" xfId="0" applyFont="1" applyFill="1" applyBorder="1" applyAlignment="1">
      <alignment horizontal="left"/>
    </xf>
    <xf numFmtId="0" fontId="27" fillId="0" borderId="4" xfId="0" applyFont="1" applyFill="1" applyBorder="1" applyAlignment="1">
      <alignment horizontal="left"/>
    </xf>
    <xf numFmtId="0" fontId="27" fillId="0" borderId="0" xfId="0" applyFont="1" applyFill="1" applyAlignment="1">
      <alignment vertical="center"/>
    </xf>
    <xf numFmtId="0" fontId="27" fillId="0" borderId="0" xfId="0" applyFont="1" applyFill="1" applyAlignment="1">
      <alignment vertical="center" wrapText="1"/>
    </xf>
    <xf numFmtId="0" fontId="27" fillId="0" borderId="0" xfId="0" applyFont="1" applyFill="1" applyAlignment="1">
      <alignment horizontal="center" vertical="center"/>
    </xf>
    <xf numFmtId="165" fontId="27" fillId="0" borderId="0" xfId="0" applyNumberFormat="1" applyFont="1" applyFill="1" applyAlignment="1">
      <alignment vertical="center"/>
    </xf>
    <xf numFmtId="0" fontId="27" fillId="0" borderId="0" xfId="0" applyFont="1" applyFill="1" applyAlignment="1">
      <alignment horizontal="left" vertical="center"/>
    </xf>
    <xf numFmtId="0" fontId="38" fillId="0" borderId="0" xfId="0" applyFont="1" applyFill="1"/>
    <xf numFmtId="0" fontId="27" fillId="0" borderId="0" xfId="0" quotePrefix="1" applyFont="1" applyFill="1" applyAlignment="1">
      <alignment horizontal="left" vertical="top"/>
    </xf>
    <xf numFmtId="0" fontId="26" fillId="0" borderId="0" xfId="0" applyFont="1" applyFill="1" applyAlignment="1">
      <alignment horizontal="center" vertical="center"/>
    </xf>
    <xf numFmtId="165" fontId="38" fillId="0" borderId="0" xfId="0" applyNumberFormat="1" applyFont="1" applyFill="1"/>
    <xf numFmtId="0" fontId="28" fillId="0" borderId="12" xfId="0" applyFont="1" applyFill="1" applyBorder="1" applyAlignment="1">
      <alignment horizontal="center"/>
    </xf>
    <xf numFmtId="165" fontId="24" fillId="0" borderId="0" xfId="0" applyNumberFormat="1" applyFont="1" applyFill="1" applyBorder="1"/>
    <xf numFmtId="0" fontId="28" fillId="0" borderId="9" xfId="0" applyFont="1" applyFill="1" applyBorder="1" applyAlignment="1"/>
    <xf numFmtId="0" fontId="28" fillId="0" borderId="9" xfId="0" applyFont="1" applyFill="1" applyBorder="1" applyAlignment="1">
      <alignment wrapText="1"/>
    </xf>
    <xf numFmtId="0" fontId="20" fillId="0" borderId="4" xfId="0" applyFont="1" applyBorder="1" applyAlignment="1">
      <alignment vertical="center" wrapText="1"/>
    </xf>
    <xf numFmtId="0" fontId="20" fillId="0" borderId="0" xfId="0" quotePrefix="1" applyFont="1" applyAlignment="1">
      <alignment horizontal="left" vertical="top"/>
    </xf>
    <xf numFmtId="0" fontId="0" fillId="0" borderId="0" xfId="0" applyFont="1"/>
    <xf numFmtId="0" fontId="20" fillId="0" borderId="0" xfId="0" quotePrefix="1" applyFont="1" applyAlignment="1">
      <alignment horizontal="right" vertical="top"/>
    </xf>
    <xf numFmtId="0" fontId="20" fillId="0" borderId="0" xfId="0" applyFont="1" applyAlignment="1">
      <alignment horizontal="left" vertical="top"/>
    </xf>
    <xf numFmtId="0" fontId="20" fillId="0" borderId="0" xfId="0" quotePrefix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23" fillId="0" borderId="0" xfId="0" applyFont="1"/>
    <xf numFmtId="0" fontId="39" fillId="0" borderId="0" xfId="0" applyFont="1"/>
    <xf numFmtId="0" fontId="36" fillId="0" borderId="4" xfId="0" applyFont="1" applyFill="1" applyBorder="1" applyAlignment="1">
      <alignment horizontal="left" vertical="center" wrapText="1"/>
    </xf>
    <xf numFmtId="17" fontId="20" fillId="0" borderId="4" xfId="0" applyNumberFormat="1" applyFont="1" applyBorder="1" applyAlignment="1">
      <alignment horizontal="left" vertical="center" wrapText="1"/>
    </xf>
    <xf numFmtId="165" fontId="20" fillId="0" borderId="4" xfId="0" applyNumberFormat="1" applyFont="1" applyBorder="1" applyAlignment="1">
      <alignment vertical="center" wrapText="1"/>
    </xf>
    <xf numFmtId="165" fontId="24" fillId="0" borderId="4" xfId="0" applyNumberFormat="1" applyFont="1" applyFill="1" applyBorder="1"/>
    <xf numFmtId="0" fontId="36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0" fillId="0" borderId="0" xfId="0" applyNumberFormat="1"/>
    <xf numFmtId="165" fontId="23" fillId="0" borderId="0" xfId="0" applyNumberFormat="1" applyFont="1"/>
    <xf numFmtId="3" fontId="0" fillId="0" borderId="0" xfId="0" applyNumberFormat="1"/>
    <xf numFmtId="0" fontId="23" fillId="0" borderId="4" xfId="0" applyFont="1" applyBorder="1" applyAlignment="1">
      <alignment vertical="center" wrapText="1"/>
    </xf>
    <xf numFmtId="3" fontId="24" fillId="0" borderId="4" xfId="0" applyNumberFormat="1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3" fontId="23" fillId="0" borderId="4" xfId="0" applyNumberFormat="1" applyFont="1" applyBorder="1" applyAlignment="1">
      <alignment vertical="center" wrapTex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/>
    </xf>
    <xf numFmtId="17" fontId="20" fillId="0" borderId="0" xfId="0" applyNumberFormat="1" applyFont="1" applyBorder="1" applyAlignment="1">
      <alignment horizontal="left"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 applyAlignment="1">
      <alignment horizontal="left" vertical="center" wrapText="1"/>
    </xf>
    <xf numFmtId="165" fontId="24" fillId="0" borderId="0" xfId="1" applyNumberFormat="1" applyFont="1" applyFill="1" applyBorder="1" applyAlignment="1">
      <alignment horizontal="right" vertical="center"/>
    </xf>
    <xf numFmtId="165" fontId="20" fillId="0" borderId="0" xfId="0" applyNumberFormat="1" applyFont="1" applyBorder="1" applyAlignment="1">
      <alignment vertical="center" wrapText="1"/>
    </xf>
    <xf numFmtId="0" fontId="23" fillId="0" borderId="4" xfId="0" applyFont="1" applyBorder="1" applyAlignment="1">
      <alignment horizontal="left" vertical="center" wrapText="1"/>
    </xf>
    <xf numFmtId="17" fontId="23" fillId="0" borderId="4" xfId="0" applyNumberFormat="1" applyFont="1" applyBorder="1" applyAlignment="1">
      <alignment horizontal="left" vertical="center" wrapText="1"/>
    </xf>
    <xf numFmtId="0" fontId="23" fillId="0" borderId="4" xfId="0" applyFont="1" applyFill="1" applyBorder="1" applyAlignment="1">
      <alignment vertical="center" wrapText="1"/>
    </xf>
    <xf numFmtId="3" fontId="36" fillId="0" borderId="4" xfId="0" applyNumberFormat="1" applyFont="1" applyBorder="1"/>
    <xf numFmtId="0" fontId="28" fillId="0" borderId="12" xfId="0" applyFont="1" applyFill="1" applyBorder="1" applyAlignment="1">
      <alignment horizontal="center"/>
    </xf>
    <xf numFmtId="0" fontId="27" fillId="0" borderId="9" xfId="0" applyFont="1" applyFill="1" applyBorder="1" applyAlignment="1">
      <alignment wrapText="1"/>
    </xf>
    <xf numFmtId="0" fontId="27" fillId="0" borderId="4" xfId="0" applyFont="1" applyFill="1" applyBorder="1" applyAlignment="1">
      <alignment horizontal="left" vertical="center" wrapText="1"/>
    </xf>
    <xf numFmtId="165" fontId="26" fillId="0" borderId="4" xfId="0" applyNumberFormat="1" applyFont="1" applyFill="1" applyBorder="1"/>
    <xf numFmtId="165" fontId="20" fillId="0" borderId="0" xfId="0" applyNumberFormat="1" applyFont="1" applyFill="1" applyAlignment="1">
      <alignment horizontal="center" vertical="center"/>
    </xf>
    <xf numFmtId="165" fontId="27" fillId="0" borderId="0" xfId="0" applyNumberFormat="1" applyFont="1"/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vertical="center"/>
    </xf>
    <xf numFmtId="0" fontId="23" fillId="0" borderId="51" xfId="0" applyFont="1" applyBorder="1"/>
    <xf numFmtId="0" fontId="23" fillId="0" borderId="52" xfId="0" applyFont="1" applyBorder="1" applyAlignment="1">
      <alignment horizontal="center"/>
    </xf>
    <xf numFmtId="0" fontId="31" fillId="0" borderId="4" xfId="0" applyFont="1" applyFill="1" applyBorder="1" applyAlignment="1">
      <alignment horizontal="left" vertical="center" wrapText="1"/>
    </xf>
    <xf numFmtId="165" fontId="31" fillId="0" borderId="4" xfId="0" applyNumberFormat="1" applyFont="1" applyFill="1" applyBorder="1" applyAlignment="1">
      <alignment horizontal="center" vertical="center"/>
    </xf>
    <xf numFmtId="0" fontId="23" fillId="0" borderId="27" xfId="0" applyFont="1" applyBorder="1"/>
    <xf numFmtId="0" fontId="24" fillId="0" borderId="27" xfId="0" applyFont="1" applyBorder="1"/>
    <xf numFmtId="0" fontId="23" fillId="0" borderId="28" xfId="0" applyFont="1" applyFill="1" applyBorder="1"/>
    <xf numFmtId="0" fontId="23" fillId="0" borderId="30" xfId="0" applyFont="1" applyBorder="1"/>
    <xf numFmtId="0" fontId="24" fillId="0" borderId="4" xfId="0" applyFont="1" applyFill="1" applyBorder="1" applyAlignment="1">
      <alignment vertical="center"/>
    </xf>
    <xf numFmtId="0" fontId="31" fillId="0" borderId="4" xfId="0" applyFont="1" applyBorder="1" applyAlignment="1">
      <alignment vertical="center" wrapText="1"/>
    </xf>
    <xf numFmtId="165" fontId="31" fillId="0" borderId="4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vertical="top" wrapText="1"/>
    </xf>
    <xf numFmtId="0" fontId="26" fillId="0" borderId="0" xfId="0" applyFont="1" applyFill="1" applyBorder="1" applyAlignment="1"/>
    <xf numFmtId="0" fontId="26" fillId="0" borderId="12" xfId="0" applyFont="1" applyFill="1" applyBorder="1" applyAlignment="1">
      <alignment horizontal="left" vertical="center"/>
    </xf>
    <xf numFmtId="0" fontId="26" fillId="0" borderId="12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 wrapText="1"/>
    </xf>
    <xf numFmtId="0" fontId="31" fillId="0" borderId="4" xfId="0" applyFont="1" applyFill="1" applyBorder="1" applyAlignment="1">
      <alignment vertical="center" wrapText="1"/>
    </xf>
    <xf numFmtId="0" fontId="29" fillId="0" borderId="26" xfId="0" applyFont="1" applyBorder="1" applyAlignment="1">
      <alignment horizontal="center" vertical="center"/>
    </xf>
    <xf numFmtId="0" fontId="29" fillId="0" borderId="27" xfId="0" applyFont="1" applyFill="1" applyBorder="1" applyAlignment="1">
      <alignment horizontal="center" vertical="center" wrapText="1"/>
    </xf>
    <xf numFmtId="0" fontId="31" fillId="0" borderId="27" xfId="0" applyFont="1" applyFill="1" applyBorder="1" applyAlignment="1">
      <alignment vertical="center" wrapText="1"/>
    </xf>
    <xf numFmtId="165" fontId="29" fillId="0" borderId="29" xfId="0" applyNumberFormat="1" applyFont="1" applyBorder="1" applyAlignment="1">
      <alignment horizontal="right" vertical="center"/>
    </xf>
    <xf numFmtId="0" fontId="31" fillId="0" borderId="30" xfId="0" applyFont="1" applyFill="1" applyBorder="1" applyAlignment="1">
      <alignment horizontal="left" vertical="center"/>
    </xf>
    <xf numFmtId="0" fontId="29" fillId="0" borderId="4" xfId="0" applyFont="1" applyBorder="1" applyAlignment="1">
      <alignment vertical="center" wrapText="1"/>
    </xf>
    <xf numFmtId="0" fontId="14" fillId="0" borderId="0" xfId="0" applyFont="1" applyFill="1"/>
    <xf numFmtId="0" fontId="24" fillId="0" borderId="0" xfId="0" applyFont="1" applyBorder="1"/>
    <xf numFmtId="0" fontId="27" fillId="0" borderId="0" xfId="0" quotePrefix="1" applyFont="1" applyFill="1" applyAlignment="1">
      <alignment horizontal="left" vertical="top" wrapText="1"/>
    </xf>
    <xf numFmtId="0" fontId="30" fillId="0" borderId="26" xfId="0" applyFont="1" applyFill="1" applyBorder="1" applyAlignment="1">
      <alignment horizontal="center" vertical="center"/>
    </xf>
    <xf numFmtId="0" fontId="31" fillId="0" borderId="4" xfId="0" applyFont="1" applyBorder="1" applyAlignment="1">
      <alignment vertical="center" wrapText="1"/>
    </xf>
    <xf numFmtId="0" fontId="31" fillId="0" borderId="9" xfId="0" applyFont="1" applyBorder="1" applyAlignment="1">
      <alignment horizontal="left" vertical="center" wrapText="1"/>
    </xf>
    <xf numFmtId="0" fontId="31" fillId="0" borderId="9" xfId="0" applyFont="1" applyBorder="1" applyAlignment="1">
      <alignment vertical="center" wrapText="1"/>
    </xf>
    <xf numFmtId="165" fontId="24" fillId="0" borderId="0" xfId="0" applyNumberFormat="1" applyFont="1" applyFill="1" applyAlignment="1">
      <alignment vertical="center"/>
    </xf>
    <xf numFmtId="0" fontId="23" fillId="0" borderId="0" xfId="0" applyFont="1" applyFill="1" applyAlignment="1">
      <alignment horizontal="center" vertical="center"/>
    </xf>
    <xf numFmtId="0" fontId="24" fillId="0" borderId="0" xfId="0" quotePrefix="1" applyFont="1" applyFill="1" applyAlignment="1">
      <alignment horizontal="left" vertical="top" wrapText="1"/>
    </xf>
    <xf numFmtId="0" fontId="23" fillId="0" borderId="53" xfId="0" applyFont="1" applyFill="1" applyBorder="1" applyAlignment="1">
      <alignment horizontal="left" vertical="center" wrapText="1"/>
    </xf>
    <xf numFmtId="0" fontId="23" fillId="0" borderId="54" xfId="0" applyFont="1" applyFill="1" applyBorder="1" applyAlignment="1">
      <alignment horizontal="left" vertical="center" wrapText="1"/>
    </xf>
    <xf numFmtId="0" fontId="23" fillId="0" borderId="54" xfId="0" applyFont="1" applyFill="1" applyBorder="1" applyAlignment="1">
      <alignment horizontal="left" vertical="center"/>
    </xf>
    <xf numFmtId="0" fontId="23" fillId="0" borderId="54" xfId="0" applyFont="1" applyFill="1" applyBorder="1" applyAlignment="1">
      <alignment horizontal="center" vertical="center" wrapText="1"/>
    </xf>
    <xf numFmtId="0" fontId="37" fillId="0" borderId="54" xfId="0" applyFont="1" applyFill="1" applyBorder="1" applyAlignment="1">
      <alignment horizontal="left" vertical="center" wrapText="1"/>
    </xf>
    <xf numFmtId="165" fontId="23" fillId="0" borderId="54" xfId="0" applyNumberFormat="1" applyFont="1" applyFill="1" applyBorder="1" applyAlignment="1">
      <alignment horizontal="left" vertical="center" wrapText="1"/>
    </xf>
    <xf numFmtId="0" fontId="23" fillId="0" borderId="55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wrapText="1"/>
    </xf>
    <xf numFmtId="0" fontId="23" fillId="0" borderId="24" xfId="0" applyFont="1" applyFill="1" applyBorder="1" applyAlignment="1">
      <alignment vertical="center" wrapText="1"/>
    </xf>
    <xf numFmtId="165" fontId="23" fillId="0" borderId="54" xfId="1" applyNumberFormat="1" applyFont="1" applyFill="1" applyBorder="1" applyAlignment="1">
      <alignment horizontal="center" vertical="center"/>
    </xf>
    <xf numFmtId="165" fontId="23" fillId="0" borderId="55" xfId="1" applyNumberFormat="1" applyFont="1" applyFill="1" applyBorder="1" applyAlignment="1">
      <alignment horizontal="center" vertical="center"/>
    </xf>
    <xf numFmtId="0" fontId="24" fillId="0" borderId="26" xfId="0" applyFont="1" applyFill="1" applyBorder="1" applyAlignment="1">
      <alignment vertical="center"/>
    </xf>
    <xf numFmtId="0" fontId="24" fillId="0" borderId="4" xfId="0" applyFont="1" applyFill="1" applyBorder="1" applyAlignment="1"/>
    <xf numFmtId="165" fontId="24" fillId="0" borderId="4" xfId="1" applyNumberFormat="1" applyFont="1" applyFill="1" applyBorder="1" applyAlignment="1"/>
    <xf numFmtId="165" fontId="24" fillId="0" borderId="27" xfId="1" applyNumberFormat="1" applyFont="1" applyFill="1" applyBorder="1" applyAlignment="1"/>
    <xf numFmtId="0" fontId="24" fillId="0" borderId="0" xfId="0" applyFont="1" applyFill="1" applyBorder="1" applyAlignment="1"/>
    <xf numFmtId="165" fontId="23" fillId="0" borderId="60" xfId="1" applyNumberFormat="1" applyFont="1" applyFill="1" applyBorder="1" applyAlignment="1">
      <alignment vertical="center"/>
    </xf>
    <xf numFmtId="0" fontId="14" fillId="0" borderId="0" xfId="0" applyFont="1" applyFill="1" applyAlignment="1"/>
    <xf numFmtId="0" fontId="23" fillId="0" borderId="22" xfId="0" applyFont="1" applyFill="1" applyBorder="1" applyAlignment="1">
      <alignment vertical="center" wrapText="1"/>
    </xf>
    <xf numFmtId="0" fontId="23" fillId="0" borderId="24" xfId="0" applyFont="1" applyFill="1" applyBorder="1" applyAlignment="1">
      <alignment vertical="center"/>
    </xf>
    <xf numFmtId="0" fontId="37" fillId="0" borderId="24" xfId="0" applyFont="1" applyFill="1" applyBorder="1" applyAlignment="1">
      <alignment vertical="center" wrapText="1"/>
    </xf>
    <xf numFmtId="0" fontId="23" fillId="0" borderId="25" xfId="0" applyFont="1" applyFill="1" applyBorder="1" applyAlignment="1">
      <alignment vertical="center"/>
    </xf>
    <xf numFmtId="165" fontId="23" fillId="0" borderId="61" xfId="1" applyNumberFormat="1" applyFont="1" applyFill="1" applyBorder="1" applyAlignment="1">
      <alignment vertical="center"/>
    </xf>
    <xf numFmtId="165" fontId="24" fillId="0" borderId="0" xfId="0" applyNumberFormat="1" applyFont="1" applyFill="1" applyAlignment="1"/>
    <xf numFmtId="0" fontId="24" fillId="0" borderId="0" xfId="0" quotePrefix="1" applyFont="1" applyFill="1" applyAlignment="1">
      <alignment vertical="top"/>
    </xf>
    <xf numFmtId="0" fontId="23" fillId="0" borderId="0" xfId="0" applyFont="1" applyFill="1" applyAlignment="1">
      <alignment vertical="center"/>
    </xf>
    <xf numFmtId="0" fontId="24" fillId="0" borderId="0" xfId="0" quotePrefix="1" applyFont="1" applyFill="1" applyAlignment="1">
      <alignment vertical="top" wrapText="1"/>
    </xf>
    <xf numFmtId="0" fontId="24" fillId="0" borderId="0" xfId="0" quotePrefix="1" applyFont="1" applyFill="1" applyAlignment="1">
      <alignment horizontal="left" vertical="top" wrapText="1"/>
    </xf>
    <xf numFmtId="0" fontId="24" fillId="0" borderId="9" xfId="0" applyFont="1" applyFill="1" applyBorder="1" applyAlignment="1">
      <alignment vertical="center"/>
    </xf>
    <xf numFmtId="0" fontId="24" fillId="0" borderId="9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horizontal="left" vertical="center"/>
    </xf>
    <xf numFmtId="0" fontId="24" fillId="0" borderId="12" xfId="0" applyFont="1" applyFill="1" applyBorder="1" applyAlignment="1">
      <alignment vertical="center"/>
    </xf>
    <xf numFmtId="165" fontId="24" fillId="0" borderId="0" xfId="0" applyNumberFormat="1" applyFont="1" applyFill="1" applyBorder="1" applyAlignment="1"/>
    <xf numFmtId="0" fontId="24" fillId="0" borderId="12" xfId="0" applyFont="1" applyFill="1" applyBorder="1" applyAlignment="1">
      <alignment vertical="center" wrapText="1"/>
    </xf>
    <xf numFmtId="0" fontId="24" fillId="0" borderId="51" xfId="0" applyFont="1" applyFill="1" applyBorder="1" applyAlignment="1">
      <alignment horizontal="left" vertical="center" wrapText="1"/>
    </xf>
    <xf numFmtId="0" fontId="24" fillId="0" borderId="47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165" fontId="24" fillId="0" borderId="12" xfId="1" applyNumberFormat="1" applyFont="1" applyFill="1" applyBorder="1" applyAlignment="1">
      <alignment horizontal="center" vertical="center"/>
    </xf>
    <xf numFmtId="165" fontId="24" fillId="0" borderId="12" xfId="1" applyNumberFormat="1" applyFont="1" applyFill="1" applyBorder="1" applyAlignment="1">
      <alignment horizontal="right" vertical="center"/>
    </xf>
    <xf numFmtId="165" fontId="24" fillId="0" borderId="52" xfId="1" applyNumberFormat="1" applyFont="1" applyFill="1" applyBorder="1" applyAlignment="1">
      <alignment horizontal="right" vertical="center"/>
    </xf>
    <xf numFmtId="0" fontId="24" fillId="0" borderId="10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 wrapText="1"/>
    </xf>
    <xf numFmtId="165" fontId="24" fillId="0" borderId="4" xfId="1" applyNumberFormat="1" applyFont="1" applyFill="1" applyBorder="1" applyAlignment="1">
      <alignment horizontal="center" vertical="center"/>
    </xf>
    <xf numFmtId="165" fontId="24" fillId="0" borderId="27" xfId="1" applyNumberFormat="1" applyFont="1" applyFill="1" applyBorder="1" applyAlignment="1">
      <alignment horizontal="right" vertical="center"/>
    </xf>
    <xf numFmtId="0" fontId="24" fillId="0" borderId="9" xfId="0" applyFont="1" applyFill="1" applyBorder="1" applyAlignment="1">
      <alignment horizontal="left" vertical="center" wrapText="1"/>
    </xf>
    <xf numFmtId="165" fontId="24" fillId="0" borderId="9" xfId="1" applyNumberFormat="1" applyFont="1" applyFill="1" applyBorder="1" applyAlignment="1">
      <alignment horizontal="center" vertical="center"/>
    </xf>
    <xf numFmtId="165" fontId="24" fillId="0" borderId="9" xfId="1" applyNumberFormat="1" applyFont="1" applyFill="1" applyBorder="1" applyAlignment="1">
      <alignment horizontal="right" vertical="center"/>
    </xf>
    <xf numFmtId="165" fontId="24" fillId="0" borderId="48" xfId="1" applyNumberFormat="1" applyFont="1" applyFill="1" applyBorder="1" applyAlignment="1">
      <alignment horizontal="right" vertical="center"/>
    </xf>
    <xf numFmtId="0" fontId="24" fillId="0" borderId="42" xfId="0" applyFont="1" applyFill="1" applyBorder="1" applyAlignment="1">
      <alignment horizontal="left" vertical="center" wrapText="1"/>
    </xf>
    <xf numFmtId="165" fontId="24" fillId="0" borderId="35" xfId="1" applyNumberFormat="1" applyFont="1" applyFill="1" applyBorder="1" applyAlignment="1">
      <alignment horizontal="right" vertical="center"/>
    </xf>
    <xf numFmtId="0" fontId="24" fillId="0" borderId="4" xfId="0" applyFont="1" applyFill="1" applyBorder="1" applyAlignment="1">
      <alignment horizontal="left" vertical="center"/>
    </xf>
    <xf numFmtId="0" fontId="24" fillId="0" borderId="4" xfId="0" applyFont="1" applyFill="1" applyBorder="1" applyAlignment="1">
      <alignment horizontal="left"/>
    </xf>
    <xf numFmtId="0" fontId="30" fillId="0" borderId="50" xfId="0" applyFont="1" applyFill="1" applyBorder="1" applyAlignment="1">
      <alignment horizontal="center" vertical="center"/>
    </xf>
    <xf numFmtId="165" fontId="31" fillId="0" borderId="9" xfId="0" applyNumberFormat="1" applyFont="1" applyBorder="1" applyAlignment="1">
      <alignment horizontal="center" vertical="center"/>
    </xf>
    <xf numFmtId="165" fontId="30" fillId="0" borderId="9" xfId="0" applyNumberFormat="1" applyFont="1" applyFill="1" applyBorder="1" applyAlignment="1">
      <alignment horizontal="center" vertical="center"/>
    </xf>
    <xf numFmtId="0" fontId="31" fillId="0" borderId="48" xfId="0" applyFont="1" applyFill="1" applyBorder="1" applyAlignment="1">
      <alignment vertical="center" wrapText="1"/>
    </xf>
    <xf numFmtId="166" fontId="24" fillId="0" borderId="4" xfId="1" applyNumberFormat="1" applyFont="1" applyFill="1" applyBorder="1" applyAlignment="1">
      <alignment horizontal="right" vertical="center" wrapText="1"/>
    </xf>
    <xf numFmtId="166" fontId="24" fillId="0" borderId="4" xfId="1" applyNumberFormat="1" applyFont="1" applyFill="1" applyBorder="1" applyAlignment="1">
      <alignment horizontal="right"/>
    </xf>
    <xf numFmtId="166" fontId="24" fillId="0" borderId="4" xfId="1" applyNumberFormat="1" applyFont="1" applyFill="1" applyBorder="1" applyAlignment="1">
      <alignment horizontal="right" vertical="center"/>
    </xf>
    <xf numFmtId="166" fontId="24" fillId="0" borderId="27" xfId="1" applyNumberFormat="1" applyFont="1" applyFill="1" applyBorder="1" applyAlignment="1">
      <alignment horizontal="right" vertical="center"/>
    </xf>
    <xf numFmtId="166" fontId="24" fillId="0" borderId="27" xfId="1" applyNumberFormat="1" applyFont="1" applyFill="1" applyBorder="1" applyAlignment="1">
      <alignment horizontal="right"/>
    </xf>
    <xf numFmtId="0" fontId="23" fillId="0" borderId="62" xfId="0" applyFont="1" applyFill="1" applyBorder="1" applyAlignment="1">
      <alignment horizontal="center" vertical="center" wrapText="1"/>
    </xf>
    <xf numFmtId="166" fontId="24" fillId="0" borderId="0" xfId="0" applyNumberFormat="1" applyFont="1" applyFill="1" applyBorder="1" applyAlignment="1"/>
    <xf numFmtId="0" fontId="24" fillId="5" borderId="51" xfId="0" applyFont="1" applyFill="1" applyBorder="1" applyAlignment="1">
      <alignment horizontal="left" vertical="center" wrapText="1"/>
    </xf>
    <xf numFmtId="0" fontId="24" fillId="5" borderId="4" xfId="0" applyFont="1" applyFill="1" applyBorder="1" applyAlignment="1">
      <alignment vertical="center" wrapText="1"/>
    </xf>
    <xf numFmtId="0" fontId="24" fillId="5" borderId="4" xfId="0" applyFont="1" applyFill="1" applyBorder="1" applyAlignment="1">
      <alignment horizontal="left" vertical="center" wrapText="1"/>
    </xf>
    <xf numFmtId="165" fontId="24" fillId="5" borderId="4" xfId="1" applyNumberFormat="1" applyFont="1" applyFill="1" applyBorder="1" applyAlignment="1">
      <alignment horizontal="center" vertical="center"/>
    </xf>
    <xf numFmtId="165" fontId="24" fillId="5" borderId="12" xfId="1" applyNumberFormat="1" applyFont="1" applyFill="1" applyBorder="1" applyAlignment="1">
      <alignment horizontal="right" vertical="center"/>
    </xf>
    <xf numFmtId="165" fontId="24" fillId="5" borderId="4" xfId="1" applyNumberFormat="1" applyFont="1" applyFill="1" applyBorder="1" applyAlignment="1">
      <alignment horizontal="right" vertical="center"/>
    </xf>
    <xf numFmtId="0" fontId="24" fillId="5" borderId="4" xfId="0" applyFont="1" applyFill="1" applyBorder="1" applyAlignment="1">
      <alignment vertical="center"/>
    </xf>
    <xf numFmtId="165" fontId="24" fillId="5" borderId="27" xfId="1" applyNumberFormat="1" applyFont="1" applyFill="1" applyBorder="1" applyAlignment="1">
      <alignment horizontal="right" vertical="center"/>
    </xf>
    <xf numFmtId="0" fontId="20" fillId="5" borderId="0" xfId="0" applyFont="1" applyFill="1" applyAlignment="1">
      <alignment vertical="center"/>
    </xf>
    <xf numFmtId="0" fontId="24" fillId="5" borderId="47" xfId="0" applyFont="1" applyFill="1" applyBorder="1" applyAlignment="1">
      <alignment horizontal="left" vertical="center" wrapText="1"/>
    </xf>
    <xf numFmtId="0" fontId="24" fillId="5" borderId="12" xfId="0" applyFont="1" applyFill="1" applyBorder="1" applyAlignment="1">
      <alignment horizontal="left" vertical="center" wrapText="1"/>
    </xf>
    <xf numFmtId="0" fontId="24" fillId="5" borderId="12" xfId="0" applyFont="1" applyFill="1" applyBorder="1" applyAlignment="1">
      <alignment vertical="center"/>
    </xf>
    <xf numFmtId="165" fontId="24" fillId="5" borderId="12" xfId="1" applyNumberFormat="1" applyFont="1" applyFill="1" applyBorder="1" applyAlignment="1">
      <alignment horizontal="center" vertical="center"/>
    </xf>
    <xf numFmtId="165" fontId="24" fillId="5" borderId="52" xfId="1" applyNumberFormat="1" applyFont="1" applyFill="1" applyBorder="1" applyAlignment="1">
      <alignment horizontal="right" vertical="center"/>
    </xf>
    <xf numFmtId="0" fontId="24" fillId="5" borderId="10" xfId="0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top" wrapText="1"/>
    </xf>
    <xf numFmtId="0" fontId="26" fillId="0" borderId="4" xfId="0" applyFont="1" applyFill="1" applyBorder="1" applyAlignment="1">
      <alignment horizontal="center"/>
    </xf>
    <xf numFmtId="43" fontId="29" fillId="0" borderId="28" xfId="0" applyNumberFormat="1" applyFont="1" applyBorder="1" applyAlignment="1">
      <alignment horizontal="center" vertical="center"/>
    </xf>
    <xf numFmtId="43" fontId="29" fillId="0" borderId="29" xfId="0" applyNumberFormat="1" applyFont="1" applyBorder="1" applyAlignment="1">
      <alignment horizontal="center" vertical="center"/>
    </xf>
    <xf numFmtId="43" fontId="26" fillId="0" borderId="4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top" wrapText="1"/>
    </xf>
    <xf numFmtId="0" fontId="29" fillId="0" borderId="24" xfId="0" applyFont="1" applyBorder="1" applyAlignment="1">
      <alignment horizontal="center" vertical="top" wrapText="1"/>
    </xf>
    <xf numFmtId="0" fontId="29" fillId="0" borderId="25" xfId="0" applyFont="1" applyBorder="1" applyAlignment="1">
      <alignment horizontal="center" vertical="top" wrapText="1"/>
    </xf>
    <xf numFmtId="0" fontId="27" fillId="0" borderId="9" xfId="0" applyFont="1" applyFill="1" applyBorder="1" applyAlignment="1">
      <alignment horizontal="center" vertical="center" wrapText="1"/>
    </xf>
    <xf numFmtId="0" fontId="27" fillId="0" borderId="12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/>
    </xf>
    <xf numFmtId="0" fontId="33" fillId="0" borderId="4" xfId="0" applyFont="1" applyFill="1" applyBorder="1" applyAlignment="1">
      <alignment horizontal="left" vertical="center" wrapText="1"/>
    </xf>
    <xf numFmtId="43" fontId="32" fillId="0" borderId="44" xfId="0" applyNumberFormat="1" applyFont="1" applyFill="1" applyBorder="1" applyAlignment="1">
      <alignment horizontal="center" vertical="center"/>
    </xf>
    <xf numFmtId="43" fontId="32" fillId="0" borderId="45" xfId="0" applyNumberFormat="1" applyFont="1" applyFill="1" applyBorder="1" applyAlignment="1">
      <alignment horizontal="center" vertical="center"/>
    </xf>
    <xf numFmtId="43" fontId="32" fillId="0" borderId="46" xfId="0" applyNumberFormat="1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left" vertical="center" wrapText="1"/>
    </xf>
    <xf numFmtId="0" fontId="33" fillId="0" borderId="12" xfId="0" applyFont="1" applyFill="1" applyBorder="1" applyAlignment="1">
      <alignment horizontal="left" vertical="center" wrapText="1"/>
    </xf>
    <xf numFmtId="0" fontId="23" fillId="0" borderId="36" xfId="0" applyFont="1" applyFill="1" applyBorder="1" applyAlignment="1">
      <alignment horizontal="center" vertical="center"/>
    </xf>
    <xf numFmtId="0" fontId="32" fillId="0" borderId="56" xfId="0" applyFont="1" applyFill="1" applyBorder="1" applyAlignment="1">
      <alignment horizontal="center" vertical="center" wrapText="1"/>
    </xf>
    <xf numFmtId="0" fontId="32" fillId="0" borderId="23" xfId="0" applyFont="1" applyFill="1" applyBorder="1" applyAlignment="1">
      <alignment horizontal="center" vertical="center" wrapText="1"/>
    </xf>
    <xf numFmtId="0" fontId="32" fillId="0" borderId="59" xfId="0" applyFont="1" applyFill="1" applyBorder="1" applyAlignment="1">
      <alignment horizontal="center" vertical="center" wrapText="1"/>
    </xf>
    <xf numFmtId="43" fontId="23" fillId="0" borderId="44" xfId="0" applyNumberFormat="1" applyFont="1" applyFill="1" applyBorder="1" applyAlignment="1">
      <alignment horizontal="center" vertical="center"/>
    </xf>
    <xf numFmtId="43" fontId="23" fillId="0" borderId="45" xfId="0" applyNumberFormat="1" applyFont="1" applyFill="1" applyBorder="1" applyAlignment="1">
      <alignment horizontal="center" vertical="center"/>
    </xf>
    <xf numFmtId="43" fontId="23" fillId="0" borderId="63" xfId="0" applyNumberFormat="1" applyFont="1" applyFill="1" applyBorder="1" applyAlignment="1">
      <alignment horizontal="center" vertical="center"/>
    </xf>
    <xf numFmtId="0" fontId="24" fillId="0" borderId="38" xfId="0" applyFont="1" applyFill="1" applyBorder="1" applyAlignment="1">
      <alignment horizontal="left" vertical="center"/>
    </xf>
    <xf numFmtId="0" fontId="24" fillId="0" borderId="0" xfId="0" quotePrefix="1" applyFont="1" applyFill="1" applyAlignment="1">
      <alignment horizontal="left" vertical="top" wrapText="1"/>
    </xf>
    <xf numFmtId="0" fontId="23" fillId="0" borderId="0" xfId="0" applyFont="1" applyFill="1" applyAlignment="1"/>
    <xf numFmtId="43" fontId="23" fillId="0" borderId="40" xfId="0" applyNumberFormat="1" applyFont="1" applyFill="1" applyBorder="1" applyAlignment="1">
      <alignment vertical="center" wrapText="1"/>
    </xf>
    <xf numFmtId="43" fontId="23" fillId="0" borderId="36" xfId="0" applyNumberFormat="1" applyFont="1" applyFill="1" applyBorder="1" applyAlignment="1">
      <alignment vertical="center" wrapText="1"/>
    </xf>
    <xf numFmtId="43" fontId="23" fillId="0" borderId="49" xfId="0" applyNumberFormat="1" applyFont="1" applyFill="1" applyBorder="1" applyAlignment="1">
      <alignment vertical="center" wrapText="1"/>
    </xf>
    <xf numFmtId="0" fontId="32" fillId="0" borderId="44" xfId="0" applyFont="1" applyFill="1" applyBorder="1" applyAlignment="1">
      <alignment horizontal="center" vertical="center"/>
    </xf>
    <xf numFmtId="0" fontId="32" fillId="0" borderId="45" xfId="0" applyFont="1" applyFill="1" applyBorder="1" applyAlignment="1">
      <alignment horizontal="center" vertical="center"/>
    </xf>
    <xf numFmtId="0" fontId="32" fillId="0" borderId="46" xfId="0" applyFont="1" applyFill="1" applyBorder="1" applyAlignment="1">
      <alignment horizontal="center" vertical="center"/>
    </xf>
    <xf numFmtId="0" fontId="23" fillId="0" borderId="22" xfId="0" applyFont="1" applyBorder="1" applyAlignment="1">
      <alignment horizontal="left" vertical="center" wrapText="1"/>
    </xf>
    <xf numFmtId="0" fontId="23" fillId="0" borderId="25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left" wrapText="1"/>
    </xf>
    <xf numFmtId="0" fontId="24" fillId="0" borderId="0" xfId="0" applyFont="1" applyFill="1" applyBorder="1" applyAlignment="1">
      <alignment horizontal="left" vertical="top" wrapText="1"/>
    </xf>
    <xf numFmtId="0" fontId="24" fillId="0" borderId="0" xfId="0" applyFont="1" applyAlignment="1">
      <alignment horizontal="left" wrapText="1"/>
    </xf>
    <xf numFmtId="0" fontId="23" fillId="0" borderId="37" xfId="0" applyFont="1" applyBorder="1" applyAlignment="1">
      <alignment horizontal="center" wrapText="1"/>
    </xf>
    <xf numFmtId="0" fontId="23" fillId="0" borderId="39" xfId="0" applyFont="1" applyBorder="1" applyAlignment="1">
      <alignment horizontal="center" wrapText="1"/>
    </xf>
    <xf numFmtId="0" fontId="23" fillId="0" borderId="57" xfId="0" applyFont="1" applyBorder="1" applyAlignment="1">
      <alignment horizontal="center" wrapText="1"/>
    </xf>
    <xf numFmtId="0" fontId="23" fillId="0" borderId="58" xfId="0" applyFont="1" applyBorder="1" applyAlignment="1">
      <alignment horizontal="center" wrapText="1"/>
    </xf>
    <xf numFmtId="0" fontId="23" fillId="0" borderId="36" xfId="0" applyFont="1" applyBorder="1" applyAlignment="1">
      <alignment horizontal="left" vertical="center" wrapText="1"/>
    </xf>
    <xf numFmtId="43" fontId="12" fillId="0" borderId="0" xfId="0" applyNumberFormat="1" applyFont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43" fontId="12" fillId="0" borderId="4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12" fillId="0" borderId="44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65" fontId="14" fillId="0" borderId="32" xfId="1" applyNumberFormat="1" applyFont="1" applyFill="1" applyBorder="1" applyAlignment="1">
      <alignment horizontal="center" vertical="center"/>
    </xf>
    <xf numFmtId="165" fontId="14" fillId="0" borderId="10" xfId="1" applyNumberFormat="1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10" xfId="0" applyFont="1" applyBorder="1" applyAlignment="1">
      <alignment horizontal="center"/>
    </xf>
  </cellXfs>
  <cellStyles count="8">
    <cellStyle name="Comma" xfId="1" builtinId="3"/>
    <cellStyle name="Comma 2" xfId="5" xr:uid="{AADB93D9-C597-414E-BD37-1E4C3B52FAA6}"/>
    <cellStyle name="Normal" xfId="0" builtinId="0"/>
    <cellStyle name="Normal 2" xfId="2" xr:uid="{00000000-0005-0000-0000-000002000000}"/>
    <cellStyle name="Normal 2 2" xfId="6" xr:uid="{45CCFE64-EFF1-4DC4-8A99-CDB9B02CBE9E}"/>
    <cellStyle name="Normal 3" xfId="3" xr:uid="{00000000-0005-0000-0000-000003000000}"/>
    <cellStyle name="Normal 3 2" xfId="7" xr:uid="{00000000-0005-0000-0000-000003000000}"/>
    <cellStyle name="Normal 4" xfId="4" xr:uid="{0F6905F7-D7CA-4C5C-9E96-058B61D62A5E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DA@%2042%2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S42"/>
  <sheetViews>
    <sheetView zoomScale="70" zoomScaleNormal="70" workbookViewId="0">
      <selection activeCell="D29" sqref="D29"/>
    </sheetView>
  </sheetViews>
  <sheetFormatPr defaultRowHeight="15" x14ac:dyDescent="0.25"/>
  <cols>
    <col min="1" max="1" width="14.28515625" style="50" customWidth="1"/>
    <col min="2" max="2" width="43.42578125" style="79" customWidth="1"/>
    <col min="3" max="3" width="57.28515625" style="79" customWidth="1"/>
    <col min="4" max="4" width="28.85546875" style="50" customWidth="1"/>
    <col min="5" max="5" width="32.5703125" style="50" customWidth="1"/>
    <col min="6" max="6" width="32.140625" style="50" customWidth="1"/>
    <col min="7" max="7" width="23.7109375" style="50" customWidth="1"/>
    <col min="8" max="8" width="19" style="50" customWidth="1"/>
    <col min="9" max="9" width="19.140625" style="50" customWidth="1"/>
    <col min="10" max="10" width="21.5703125" style="50" customWidth="1"/>
    <col min="11" max="11" width="21.5703125" style="50" bestFit="1" customWidth="1"/>
    <col min="12" max="12" width="22.42578125" style="50" customWidth="1"/>
    <col min="13" max="13" width="43.42578125" style="50" customWidth="1"/>
    <col min="14" max="14" width="40.140625" style="50" customWidth="1"/>
    <col min="15" max="16384" width="9.140625" style="50"/>
  </cols>
  <sheetData>
    <row r="1" spans="1:14" ht="25.5" x14ac:dyDescent="0.35">
      <c r="F1" s="229" t="s">
        <v>329</v>
      </c>
    </row>
    <row r="3" spans="1:14" ht="22.5" customHeight="1" x14ac:dyDescent="0.25">
      <c r="A3" s="379" t="s">
        <v>408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274"/>
    </row>
    <row r="4" spans="1:14" ht="45" x14ac:dyDescent="0.25">
      <c r="A4" s="187" t="s">
        <v>0</v>
      </c>
      <c r="B4" s="188" t="s">
        <v>1</v>
      </c>
      <c r="C4" s="189" t="s">
        <v>2</v>
      </c>
      <c r="D4" s="188" t="s">
        <v>37</v>
      </c>
      <c r="E4" s="188" t="s">
        <v>11</v>
      </c>
      <c r="F4" s="188" t="s">
        <v>12</v>
      </c>
      <c r="G4" s="190" t="s">
        <v>13</v>
      </c>
      <c r="H4" s="187" t="s">
        <v>14</v>
      </c>
      <c r="I4" s="190" t="s">
        <v>38</v>
      </c>
      <c r="J4" s="188" t="s">
        <v>260</v>
      </c>
      <c r="K4" s="188" t="s">
        <v>17</v>
      </c>
      <c r="L4" s="190" t="s">
        <v>18</v>
      </c>
      <c r="M4" s="191" t="s">
        <v>127</v>
      </c>
    </row>
    <row r="5" spans="1:14" s="116" customFormat="1" ht="22.5" x14ac:dyDescent="0.3">
      <c r="A5" s="215">
        <v>1</v>
      </c>
      <c r="B5" s="218" t="s">
        <v>77</v>
      </c>
      <c r="C5" s="217" t="s">
        <v>43</v>
      </c>
      <c r="D5" s="195">
        <v>26700</v>
      </c>
      <c r="E5" s="195">
        <v>31</v>
      </c>
      <c r="F5" s="195">
        <f>D5/31*E5</f>
        <v>26700</v>
      </c>
      <c r="G5" s="196">
        <v>200</v>
      </c>
      <c r="H5" s="196">
        <v>0</v>
      </c>
      <c r="I5" s="196">
        <v>1800</v>
      </c>
      <c r="J5" s="196">
        <v>0</v>
      </c>
      <c r="K5" s="196">
        <f>+SUM(G5:J5)</f>
        <v>2000</v>
      </c>
      <c r="L5" s="195">
        <f>ROUND(F5-K5,0)</f>
        <v>24700</v>
      </c>
      <c r="M5" s="199" t="s">
        <v>313</v>
      </c>
    </row>
    <row r="6" spans="1:14" s="89" customFormat="1" ht="67.5" x14ac:dyDescent="0.3">
      <c r="A6" s="198">
        <v>2</v>
      </c>
      <c r="B6" s="200" t="s">
        <v>42</v>
      </c>
      <c r="C6" s="204" t="s">
        <v>43</v>
      </c>
      <c r="D6" s="196">
        <v>28000</v>
      </c>
      <c r="E6" s="195">
        <v>31</v>
      </c>
      <c r="F6" s="195">
        <f t="shared" ref="F6:F9" si="0">D6/31*E6</f>
        <v>28000</v>
      </c>
      <c r="G6" s="196">
        <v>200</v>
      </c>
      <c r="H6" s="196">
        <v>0</v>
      </c>
      <c r="I6" s="196">
        <v>1800</v>
      </c>
      <c r="J6" s="196">
        <v>0</v>
      </c>
      <c r="K6" s="196">
        <f t="shared" ref="K6:K10" si="1">+SUM(G6:J6)</f>
        <v>2000</v>
      </c>
      <c r="L6" s="195">
        <f t="shared" ref="L6:L10" si="2">ROUND(F6-K6,0)</f>
        <v>26000</v>
      </c>
      <c r="M6" s="200" t="s">
        <v>384</v>
      </c>
    </row>
    <row r="7" spans="1:14" s="165" customFormat="1" ht="67.5" x14ac:dyDescent="0.3">
      <c r="A7" s="198">
        <v>3</v>
      </c>
      <c r="B7" s="200" t="s">
        <v>44</v>
      </c>
      <c r="C7" s="205" t="s">
        <v>43</v>
      </c>
      <c r="D7" s="196">
        <v>28000</v>
      </c>
      <c r="E7" s="195">
        <v>31</v>
      </c>
      <c r="F7" s="195">
        <f t="shared" si="0"/>
        <v>28000</v>
      </c>
      <c r="G7" s="196">
        <v>200</v>
      </c>
      <c r="H7" s="196">
        <v>0</v>
      </c>
      <c r="I7" s="196">
        <f>15000*12/100</f>
        <v>1800</v>
      </c>
      <c r="J7" s="196">
        <v>0</v>
      </c>
      <c r="K7" s="196">
        <f t="shared" si="1"/>
        <v>2000</v>
      </c>
      <c r="L7" s="195">
        <f t="shared" si="2"/>
        <v>26000</v>
      </c>
      <c r="M7" s="200" t="s">
        <v>383</v>
      </c>
    </row>
    <row r="8" spans="1:14" s="116" customFormat="1" ht="67.5" x14ac:dyDescent="0.3">
      <c r="A8" s="198">
        <v>4</v>
      </c>
      <c r="B8" s="200" t="s">
        <v>45</v>
      </c>
      <c r="C8" s="200" t="s">
        <v>40</v>
      </c>
      <c r="D8" s="196">
        <v>39500</v>
      </c>
      <c r="E8" s="195">
        <v>31</v>
      </c>
      <c r="F8" s="195">
        <f t="shared" si="0"/>
        <v>39500</v>
      </c>
      <c r="G8" s="196">
        <v>200</v>
      </c>
      <c r="H8" s="196">
        <v>0</v>
      </c>
      <c r="I8" s="196">
        <f>15000*12/100</f>
        <v>1800</v>
      </c>
      <c r="J8" s="196">
        <v>0</v>
      </c>
      <c r="K8" s="196">
        <f t="shared" si="1"/>
        <v>2000</v>
      </c>
      <c r="L8" s="195">
        <f t="shared" si="2"/>
        <v>37500</v>
      </c>
      <c r="M8" s="200" t="s">
        <v>385</v>
      </c>
    </row>
    <row r="9" spans="1:14" s="89" customFormat="1" ht="22.5" x14ac:dyDescent="0.3">
      <c r="A9" s="255">
        <v>5</v>
      </c>
      <c r="B9" s="256" t="s">
        <v>136</v>
      </c>
      <c r="C9" s="218" t="s">
        <v>168</v>
      </c>
      <c r="D9" s="195">
        <v>52100</v>
      </c>
      <c r="E9" s="195">
        <v>31</v>
      </c>
      <c r="F9" s="195">
        <f t="shared" si="0"/>
        <v>52100</v>
      </c>
      <c r="G9" s="196">
        <v>200</v>
      </c>
      <c r="H9" s="195">
        <v>0</v>
      </c>
      <c r="I9" s="197">
        <v>0</v>
      </c>
      <c r="J9" s="196">
        <v>0</v>
      </c>
      <c r="K9" s="196">
        <f t="shared" ref="K9" si="3">+SUM(G9:J9)</f>
        <v>200</v>
      </c>
      <c r="L9" s="195">
        <f t="shared" ref="L9" si="4">ROUND(F9-K9,0)</f>
        <v>51900</v>
      </c>
      <c r="M9" s="199" t="s">
        <v>360</v>
      </c>
    </row>
    <row r="10" spans="1:14" s="89" customFormat="1" ht="67.5" x14ac:dyDescent="0.3">
      <c r="A10" s="198">
        <v>6</v>
      </c>
      <c r="B10" s="200" t="s">
        <v>93</v>
      </c>
      <c r="C10" s="200" t="s">
        <v>247</v>
      </c>
      <c r="D10" s="196">
        <v>90700</v>
      </c>
      <c r="E10" s="195">
        <v>29</v>
      </c>
      <c r="F10" s="195">
        <f>D10/31*E10</f>
        <v>84848.387096774197</v>
      </c>
      <c r="G10" s="196">
        <v>200</v>
      </c>
      <c r="H10" s="196">
        <v>0</v>
      </c>
      <c r="I10" s="196">
        <v>0</v>
      </c>
      <c r="J10" s="196">
        <v>0</v>
      </c>
      <c r="K10" s="196">
        <f t="shared" si="1"/>
        <v>200</v>
      </c>
      <c r="L10" s="195">
        <f t="shared" si="2"/>
        <v>84648</v>
      </c>
      <c r="M10" s="200" t="s">
        <v>379</v>
      </c>
    </row>
    <row r="11" spans="1:14" ht="22.5" x14ac:dyDescent="0.25">
      <c r="A11" s="383" t="s">
        <v>36</v>
      </c>
      <c r="B11" s="383"/>
      <c r="C11" s="383"/>
      <c r="D11" s="192">
        <f>+SUM(D5:D10)</f>
        <v>265000</v>
      </c>
      <c r="E11" s="192"/>
      <c r="F11" s="192">
        <f t="shared" ref="F11:K11" si="5">+SUM(F5:F10)</f>
        <v>259148.38709677418</v>
      </c>
      <c r="G11" s="192">
        <f t="shared" si="5"/>
        <v>1200</v>
      </c>
      <c r="H11" s="192">
        <f t="shared" si="5"/>
        <v>0</v>
      </c>
      <c r="I11" s="192">
        <f t="shared" si="5"/>
        <v>7200</v>
      </c>
      <c r="J11" s="193">
        <f t="shared" si="5"/>
        <v>0</v>
      </c>
      <c r="K11" s="192">
        <f t="shared" si="5"/>
        <v>8400</v>
      </c>
      <c r="L11" s="192">
        <f>+SUM(L5:L10)</f>
        <v>250748</v>
      </c>
      <c r="M11" s="194"/>
    </row>
    <row r="12" spans="1:14" ht="22.5" x14ac:dyDescent="0.25">
      <c r="A12" s="142"/>
      <c r="B12" s="164"/>
      <c r="C12" s="164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</row>
    <row r="13" spans="1:14" ht="20.25" thickBot="1" x14ac:dyDescent="0.3">
      <c r="A13" s="134"/>
      <c r="B13" s="135"/>
      <c r="C13" s="136"/>
      <c r="D13" s="136"/>
      <c r="E13" s="136"/>
      <c r="F13" s="136"/>
      <c r="G13" s="136"/>
      <c r="H13" s="135"/>
      <c r="I13" s="134"/>
      <c r="J13" s="134"/>
      <c r="K13" s="134"/>
      <c r="L13" s="134"/>
      <c r="M13" s="135"/>
      <c r="N13" s="135"/>
    </row>
    <row r="14" spans="1:14" ht="24" customHeight="1" x14ac:dyDescent="0.25">
      <c r="A14" s="384" t="s">
        <v>409</v>
      </c>
      <c r="B14" s="385"/>
      <c r="C14" s="385"/>
      <c r="D14" s="385"/>
      <c r="E14" s="385"/>
      <c r="F14" s="385"/>
      <c r="G14" s="385"/>
      <c r="H14" s="385"/>
      <c r="I14" s="385"/>
      <c r="J14" s="385"/>
      <c r="K14" s="385"/>
      <c r="L14" s="385"/>
      <c r="M14" s="385"/>
      <c r="N14" s="386"/>
    </row>
    <row r="15" spans="1:14" ht="46.5" x14ac:dyDescent="0.25">
      <c r="A15" s="285" t="s">
        <v>0</v>
      </c>
      <c r="B15" s="290" t="s">
        <v>1</v>
      </c>
      <c r="C15" s="281" t="s">
        <v>2</v>
      </c>
      <c r="D15" s="282" t="s">
        <v>37</v>
      </c>
      <c r="E15" s="282" t="s">
        <v>372</v>
      </c>
      <c r="F15" s="280" t="s">
        <v>11</v>
      </c>
      <c r="G15" s="282" t="s">
        <v>12</v>
      </c>
      <c r="H15" s="282" t="s">
        <v>13</v>
      </c>
      <c r="I15" s="279" t="s">
        <v>14</v>
      </c>
      <c r="J15" s="282" t="s">
        <v>38</v>
      </c>
      <c r="K15" s="282" t="s">
        <v>260</v>
      </c>
      <c r="L15" s="282" t="s">
        <v>17</v>
      </c>
      <c r="M15" s="282" t="s">
        <v>18</v>
      </c>
      <c r="N15" s="286" t="s">
        <v>127</v>
      </c>
    </row>
    <row r="16" spans="1:14" s="89" customFormat="1" ht="23.25" x14ac:dyDescent="0.25">
      <c r="A16" s="168">
        <v>1</v>
      </c>
      <c r="B16" s="284" t="s">
        <v>272</v>
      </c>
      <c r="C16" s="265" t="s">
        <v>273</v>
      </c>
      <c r="D16" s="266">
        <v>159100</v>
      </c>
      <c r="E16" s="266">
        <v>0</v>
      </c>
      <c r="F16" s="144">
        <v>31</v>
      </c>
      <c r="G16" s="144">
        <f>D16/31*F16</f>
        <v>159100</v>
      </c>
      <c r="H16" s="266">
        <v>200</v>
      </c>
      <c r="I16" s="266">
        <v>48000</v>
      </c>
      <c r="J16" s="266">
        <v>0</v>
      </c>
      <c r="K16" s="266">
        <v>650</v>
      </c>
      <c r="L16" s="266">
        <f t="shared" ref="L16:L22" si="6">+SUM(H16:K16)</f>
        <v>48850</v>
      </c>
      <c r="M16" s="144">
        <f t="shared" ref="M16:M19" si="7">ROUND(G16-L16,0)</f>
        <v>110250</v>
      </c>
      <c r="N16" s="169" t="s">
        <v>363</v>
      </c>
    </row>
    <row r="17" spans="1:14" ht="23.25" x14ac:dyDescent="0.25">
      <c r="A17" s="168">
        <v>2</v>
      </c>
      <c r="B17" s="272" t="s">
        <v>275</v>
      </c>
      <c r="C17" s="283" t="s">
        <v>273</v>
      </c>
      <c r="D17" s="273">
        <v>108150</v>
      </c>
      <c r="E17" s="273">
        <v>5000</v>
      </c>
      <c r="F17" s="144">
        <v>31</v>
      </c>
      <c r="G17" s="144">
        <f>D17/31*F17+E17</f>
        <v>113150</v>
      </c>
      <c r="H17" s="273">
        <v>200</v>
      </c>
      <c r="I17" s="273">
        <v>1500</v>
      </c>
      <c r="J17" s="273">
        <v>0</v>
      </c>
      <c r="K17" s="273">
        <v>650</v>
      </c>
      <c r="L17" s="273">
        <f t="shared" si="6"/>
        <v>2350</v>
      </c>
      <c r="M17" s="144">
        <f t="shared" si="7"/>
        <v>110800</v>
      </c>
      <c r="N17" s="169"/>
    </row>
    <row r="18" spans="1:14" ht="23.25" x14ac:dyDescent="0.25">
      <c r="A18" s="294">
        <v>3</v>
      </c>
      <c r="B18" s="295" t="s">
        <v>356</v>
      </c>
      <c r="C18" s="296" t="s">
        <v>400</v>
      </c>
      <c r="D18" s="273">
        <v>90000</v>
      </c>
      <c r="E18" s="273">
        <v>0</v>
      </c>
      <c r="F18" s="144">
        <v>31</v>
      </c>
      <c r="G18" s="144">
        <f t="shared" ref="G18:G21" si="8">D18/31*F18</f>
        <v>90000</v>
      </c>
      <c r="H18" s="273">
        <v>200</v>
      </c>
      <c r="I18" s="273">
        <v>0</v>
      </c>
      <c r="J18" s="273">
        <v>0</v>
      </c>
      <c r="K18" s="273">
        <v>650</v>
      </c>
      <c r="L18" s="273">
        <f t="shared" si="6"/>
        <v>850</v>
      </c>
      <c r="M18" s="144">
        <f t="shared" si="7"/>
        <v>89150</v>
      </c>
      <c r="N18" s="287" t="s">
        <v>357</v>
      </c>
    </row>
    <row r="19" spans="1:14" ht="46.5" x14ac:dyDescent="0.25">
      <c r="A19" s="294">
        <v>4</v>
      </c>
      <c r="B19" s="272" t="s">
        <v>361</v>
      </c>
      <c r="C19" s="296" t="s">
        <v>400</v>
      </c>
      <c r="D19" s="273">
        <v>90000</v>
      </c>
      <c r="E19" s="273">
        <v>0</v>
      </c>
      <c r="F19" s="144">
        <v>31</v>
      </c>
      <c r="G19" s="144">
        <f t="shared" si="8"/>
        <v>90000</v>
      </c>
      <c r="H19" s="273">
        <v>200</v>
      </c>
      <c r="I19" s="273">
        <v>0</v>
      </c>
      <c r="J19" s="273">
        <v>0</v>
      </c>
      <c r="K19" s="273">
        <v>650</v>
      </c>
      <c r="L19" s="273">
        <f t="shared" si="6"/>
        <v>850</v>
      </c>
      <c r="M19" s="144">
        <f t="shared" si="7"/>
        <v>89150</v>
      </c>
      <c r="N19" s="287" t="s">
        <v>362</v>
      </c>
    </row>
    <row r="20" spans="1:14" ht="46.5" x14ac:dyDescent="0.25">
      <c r="A20" s="294">
        <v>5</v>
      </c>
      <c r="B20" s="272" t="s">
        <v>371</v>
      </c>
      <c r="C20" s="296" t="s">
        <v>400</v>
      </c>
      <c r="D20" s="273">
        <v>90000</v>
      </c>
      <c r="E20" s="273">
        <v>0</v>
      </c>
      <c r="F20" s="144">
        <v>31</v>
      </c>
      <c r="G20" s="144">
        <f t="shared" si="8"/>
        <v>90000</v>
      </c>
      <c r="H20" s="273">
        <v>200</v>
      </c>
      <c r="I20" s="273">
        <v>5000</v>
      </c>
      <c r="J20" s="273">
        <v>0</v>
      </c>
      <c r="K20" s="273">
        <v>650</v>
      </c>
      <c r="L20" s="273">
        <f t="shared" si="6"/>
        <v>5850</v>
      </c>
      <c r="M20" s="144">
        <f t="shared" ref="M20" si="9">ROUND(G20-L20,0)</f>
        <v>84150</v>
      </c>
      <c r="N20" s="287" t="s">
        <v>373</v>
      </c>
    </row>
    <row r="21" spans="1:14" ht="69.75" customHeight="1" x14ac:dyDescent="0.25">
      <c r="A21" s="294">
        <v>6</v>
      </c>
      <c r="B21" s="297" t="s">
        <v>374</v>
      </c>
      <c r="C21" s="296" t="s">
        <v>400</v>
      </c>
      <c r="D21" s="273">
        <v>100000</v>
      </c>
      <c r="E21" s="273">
        <v>0</v>
      </c>
      <c r="F21" s="144">
        <v>31</v>
      </c>
      <c r="G21" s="144">
        <f t="shared" si="8"/>
        <v>100000</v>
      </c>
      <c r="H21" s="273">
        <v>200</v>
      </c>
      <c r="I21" s="273">
        <v>0</v>
      </c>
      <c r="J21" s="273">
        <v>0</v>
      </c>
      <c r="K21" s="273">
        <v>650</v>
      </c>
      <c r="L21" s="273">
        <f t="shared" si="6"/>
        <v>850</v>
      </c>
      <c r="M21" s="144">
        <f t="shared" ref="M21:M22" si="10">ROUND(G21-L21,0)</f>
        <v>99150</v>
      </c>
      <c r="N21" s="287" t="s">
        <v>405</v>
      </c>
    </row>
    <row r="22" spans="1:14" ht="69.75" customHeight="1" x14ac:dyDescent="0.25">
      <c r="A22" s="353">
        <v>7</v>
      </c>
      <c r="B22" s="297" t="s">
        <v>399</v>
      </c>
      <c r="C22" s="296" t="s">
        <v>400</v>
      </c>
      <c r="D22" s="273">
        <v>90000</v>
      </c>
      <c r="E22" s="354">
        <v>0</v>
      </c>
      <c r="F22" s="144">
        <v>31</v>
      </c>
      <c r="G22" s="144">
        <f t="shared" ref="G22" si="11">D22/31*F22</f>
        <v>90000</v>
      </c>
      <c r="H22" s="354">
        <v>0</v>
      </c>
      <c r="I22" s="354">
        <v>0</v>
      </c>
      <c r="J22" s="354">
        <v>0</v>
      </c>
      <c r="K22" s="354">
        <v>0</v>
      </c>
      <c r="L22" s="354">
        <f t="shared" si="6"/>
        <v>0</v>
      </c>
      <c r="M22" s="355">
        <f t="shared" si="10"/>
        <v>90000</v>
      </c>
      <c r="N22" s="356" t="s">
        <v>403</v>
      </c>
    </row>
    <row r="23" spans="1:14" ht="24" thickBot="1" x14ac:dyDescent="0.3">
      <c r="A23" s="381" t="s">
        <v>36</v>
      </c>
      <c r="B23" s="382"/>
      <c r="C23" s="382"/>
      <c r="D23" s="288">
        <f>+SUM(D16:D22)</f>
        <v>727250</v>
      </c>
      <c r="E23" s="288"/>
      <c r="F23" s="288"/>
      <c r="G23" s="288">
        <f>+SUM(G16:G22)</f>
        <v>732250</v>
      </c>
      <c r="H23" s="288">
        <f t="shared" ref="H23:M23" si="12">+SUM(H16:H22)</f>
        <v>1200</v>
      </c>
      <c r="I23" s="288">
        <f t="shared" si="12"/>
        <v>54500</v>
      </c>
      <c r="J23" s="288">
        <f t="shared" si="12"/>
        <v>0</v>
      </c>
      <c r="K23" s="288">
        <f t="shared" si="12"/>
        <v>3900</v>
      </c>
      <c r="L23" s="288">
        <f t="shared" si="12"/>
        <v>59600</v>
      </c>
      <c r="M23" s="288">
        <f t="shared" si="12"/>
        <v>672650</v>
      </c>
      <c r="N23" s="289"/>
    </row>
    <row r="24" spans="1:14" ht="23.25" x14ac:dyDescent="0.25">
      <c r="A24" s="166"/>
      <c r="B24" s="166"/>
      <c r="C24" s="166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</row>
    <row r="26" spans="1:14" ht="22.5" x14ac:dyDescent="0.3">
      <c r="A26" s="380" t="s">
        <v>262</v>
      </c>
      <c r="B26" s="380"/>
      <c r="C26" s="380"/>
      <c r="D26" s="380"/>
      <c r="E26" s="380"/>
      <c r="F26" s="380"/>
      <c r="G26" s="380"/>
      <c r="H26" s="380"/>
      <c r="I26" s="380"/>
      <c r="J26" s="275"/>
      <c r="K26" s="139"/>
      <c r="L26" s="133"/>
      <c r="M26" s="133"/>
      <c r="N26" s="133"/>
    </row>
    <row r="27" spans="1:14" s="79" customFormat="1" ht="51" customHeight="1" x14ac:dyDescent="0.25">
      <c r="A27" s="276" t="s">
        <v>0</v>
      </c>
      <c r="B27" s="277" t="s">
        <v>253</v>
      </c>
      <c r="C27" s="277" t="s">
        <v>264</v>
      </c>
      <c r="D27" s="277" t="s">
        <v>254</v>
      </c>
      <c r="E27" s="277" t="s">
        <v>355</v>
      </c>
      <c r="F27" s="277" t="s">
        <v>248</v>
      </c>
      <c r="G27" s="277" t="s">
        <v>17</v>
      </c>
      <c r="H27" s="277" t="s">
        <v>252</v>
      </c>
      <c r="I27" s="277" t="s">
        <v>127</v>
      </c>
    </row>
    <row r="28" spans="1:14" ht="45" customHeight="1" x14ac:dyDescent="0.25">
      <c r="A28" s="262">
        <v>1</v>
      </c>
      <c r="B28" s="261" t="s">
        <v>263</v>
      </c>
      <c r="C28" s="257" t="s">
        <v>413</v>
      </c>
      <c r="D28" s="137">
        <f>+ROUND(42000*0.903225806451613,0)</f>
        <v>37935</v>
      </c>
      <c r="E28" s="137">
        <v>3000</v>
      </c>
      <c r="F28" s="137">
        <f>+D28*0.1</f>
        <v>3793.5</v>
      </c>
      <c r="G28" s="137">
        <f>+F28</f>
        <v>3793.5</v>
      </c>
      <c r="H28" s="137">
        <f>+D28+E28-G28</f>
        <v>37141.5</v>
      </c>
      <c r="I28" s="387" t="s">
        <v>310</v>
      </c>
    </row>
    <row r="29" spans="1:14" ht="22.5" x14ac:dyDescent="0.3">
      <c r="A29" s="380" t="s">
        <v>118</v>
      </c>
      <c r="B29" s="380"/>
      <c r="C29" s="380"/>
      <c r="D29" s="258">
        <f>+SUM(D28:D28)</f>
        <v>37935</v>
      </c>
      <c r="E29" s="258">
        <f>+SUM(E28:E28)</f>
        <v>3000</v>
      </c>
      <c r="F29" s="258">
        <f>+SUM(F28:F28)</f>
        <v>3793.5</v>
      </c>
      <c r="G29" s="258">
        <f>+SUM(G28:G28)</f>
        <v>3793.5</v>
      </c>
      <c r="H29" s="258">
        <f>+SUM(H28:H28)</f>
        <v>37141.5</v>
      </c>
      <c r="I29" s="388"/>
      <c r="K29" s="133"/>
      <c r="L29" s="133"/>
      <c r="M29" s="133"/>
      <c r="N29" s="133"/>
    </row>
    <row r="30" spans="1:14" ht="22.5" x14ac:dyDescent="0.3">
      <c r="A30" s="138"/>
      <c r="B30" s="163"/>
      <c r="C30" s="163"/>
      <c r="D30" s="138"/>
      <c r="E30" s="138"/>
      <c r="F30" s="138"/>
      <c r="G30" s="138"/>
      <c r="H30" s="138"/>
      <c r="I30" s="138"/>
      <c r="J30" s="138"/>
      <c r="K30" s="260"/>
      <c r="L30" s="133"/>
      <c r="M30" s="133"/>
      <c r="N30" s="133"/>
    </row>
    <row r="31" spans="1:14" ht="22.5" x14ac:dyDescent="0.3">
      <c r="A31" s="138"/>
      <c r="B31" s="163"/>
      <c r="C31" s="163"/>
      <c r="D31" s="138"/>
      <c r="E31" s="138"/>
      <c r="F31" s="138"/>
      <c r="G31" s="138"/>
      <c r="H31" s="201"/>
      <c r="I31" s="138"/>
      <c r="J31" s="138"/>
      <c r="K31" s="133"/>
      <c r="L31" s="133"/>
      <c r="M31" s="133"/>
      <c r="N31" s="133"/>
    </row>
    <row r="32" spans="1:14" ht="22.5" x14ac:dyDescent="0.3">
      <c r="A32" s="138"/>
      <c r="B32" s="202"/>
      <c r="C32" s="202"/>
      <c r="D32" s="138"/>
      <c r="E32" s="138"/>
      <c r="F32" s="138"/>
      <c r="G32" s="138"/>
      <c r="H32" s="138"/>
      <c r="I32" s="138"/>
      <c r="J32" s="138"/>
      <c r="K32" s="133"/>
      <c r="L32" s="133"/>
      <c r="M32" s="133"/>
      <c r="N32" s="133"/>
    </row>
    <row r="33" spans="2:19" s="206" customFormat="1" ht="22.5" x14ac:dyDescent="0.25">
      <c r="D33" s="207"/>
      <c r="E33" s="207"/>
      <c r="G33" s="208"/>
      <c r="P33" s="209"/>
    </row>
    <row r="34" spans="2:19" s="206" customFormat="1" ht="22.5" x14ac:dyDescent="0.25">
      <c r="D34" s="207"/>
      <c r="E34" s="207"/>
      <c r="G34" s="208"/>
      <c r="M34" s="210" t="s">
        <v>246</v>
      </c>
      <c r="N34" s="209"/>
      <c r="O34" s="209"/>
    </row>
    <row r="35" spans="2:19" s="206" customFormat="1" ht="22.5" x14ac:dyDescent="0.25">
      <c r="D35" s="207"/>
      <c r="E35" s="207"/>
      <c r="G35" s="208"/>
      <c r="N35" s="209"/>
    </row>
    <row r="36" spans="2:19" s="206" customFormat="1" ht="22.5" x14ac:dyDescent="0.25">
      <c r="D36" s="207"/>
      <c r="E36" s="207"/>
      <c r="G36" s="208"/>
      <c r="N36" s="209"/>
    </row>
    <row r="37" spans="2:19" s="206" customFormat="1" ht="22.5" x14ac:dyDescent="0.25">
      <c r="D37" s="207"/>
      <c r="E37" s="207"/>
      <c r="G37" s="208"/>
      <c r="N37" s="209"/>
    </row>
    <row r="38" spans="2:19" s="206" customFormat="1" ht="22.5" x14ac:dyDescent="0.25">
      <c r="D38" s="207"/>
      <c r="E38" s="207"/>
      <c r="G38" s="208"/>
      <c r="N38" s="209"/>
    </row>
    <row r="39" spans="2:19" s="211" customFormat="1" ht="23.25" x14ac:dyDescent="0.35">
      <c r="B39" s="212" t="s">
        <v>87</v>
      </c>
      <c r="D39" s="207"/>
      <c r="E39" s="212" t="s">
        <v>251</v>
      </c>
      <c r="G39" s="208"/>
      <c r="I39" s="210" t="s">
        <v>251</v>
      </c>
      <c r="J39" s="206"/>
      <c r="K39" s="213"/>
      <c r="M39" s="206"/>
      <c r="N39" s="209"/>
      <c r="O39" s="209"/>
      <c r="P39" s="206"/>
      <c r="Q39" s="206"/>
    </row>
    <row r="40" spans="2:19" s="211" customFormat="1" ht="23.25" x14ac:dyDescent="0.35">
      <c r="B40" s="212" t="s">
        <v>299</v>
      </c>
      <c r="D40" s="207"/>
      <c r="E40" s="212" t="s">
        <v>389</v>
      </c>
      <c r="G40" s="208"/>
      <c r="I40" s="210" t="s">
        <v>396</v>
      </c>
      <c r="J40" s="206"/>
      <c r="K40" s="213"/>
      <c r="M40" s="206"/>
      <c r="N40" s="209"/>
      <c r="O40" s="214"/>
      <c r="Q40" s="206"/>
    </row>
    <row r="41" spans="2:19" s="211" customFormat="1" ht="45" x14ac:dyDescent="0.35">
      <c r="B41" s="293" t="s">
        <v>390</v>
      </c>
      <c r="D41" s="207"/>
      <c r="E41" s="293" t="s">
        <v>407</v>
      </c>
      <c r="G41" s="208"/>
      <c r="I41" s="210" t="s">
        <v>393</v>
      </c>
      <c r="J41" s="206"/>
      <c r="K41" s="213"/>
      <c r="M41" s="206" t="s">
        <v>146</v>
      </c>
      <c r="N41" s="209"/>
      <c r="Q41" s="206"/>
    </row>
    <row r="42" spans="2:19" s="170" customFormat="1" ht="23.25" x14ac:dyDescent="0.35">
      <c r="D42" s="171"/>
      <c r="E42" s="171"/>
      <c r="G42" s="203"/>
      <c r="M42" s="206" t="s">
        <v>182</v>
      </c>
      <c r="N42" s="209"/>
      <c r="O42" s="211"/>
      <c r="P42" s="211"/>
      <c r="S42" s="172"/>
    </row>
  </sheetData>
  <mergeCells count="7">
    <mergeCell ref="A3:M3"/>
    <mergeCell ref="A26:I26"/>
    <mergeCell ref="A29:C29"/>
    <mergeCell ref="A23:C23"/>
    <mergeCell ref="A11:C11"/>
    <mergeCell ref="A14:N14"/>
    <mergeCell ref="I28:I29"/>
  </mergeCells>
  <pageMargins left="0.63" right="0" top="0.86614173228346458" bottom="0" header="0" footer="0"/>
  <pageSetup paperSize="8"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J36"/>
  <sheetViews>
    <sheetView topLeftCell="A22" workbookViewId="0">
      <selection activeCell="A35" sqref="A35"/>
    </sheetView>
  </sheetViews>
  <sheetFormatPr defaultRowHeight="15" x14ac:dyDescent="0.25"/>
  <cols>
    <col min="1" max="1" width="7.140625" customWidth="1"/>
    <col min="2" max="2" width="20" customWidth="1"/>
    <col min="3" max="3" width="11.28515625" customWidth="1"/>
    <col min="4" max="4" width="9.7109375" customWidth="1"/>
    <col min="5" max="5" width="10.7109375" customWidth="1"/>
    <col min="6" max="6" width="10.85546875" customWidth="1"/>
    <col min="7" max="8" width="12.7109375" customWidth="1"/>
    <col min="10" max="10" width="12.42578125" style="37" bestFit="1" customWidth="1"/>
  </cols>
  <sheetData>
    <row r="1" spans="1:10" ht="33.75" thickBot="1" x14ac:dyDescent="0.3">
      <c r="A1" s="1" t="s">
        <v>0</v>
      </c>
      <c r="B1" s="2" t="s">
        <v>1</v>
      </c>
      <c r="C1" s="3" t="s">
        <v>6</v>
      </c>
      <c r="D1" s="4" t="s">
        <v>7</v>
      </c>
      <c r="E1" s="3" t="s">
        <v>8</v>
      </c>
      <c r="F1" s="3" t="s">
        <v>9</v>
      </c>
      <c r="G1" s="3" t="s">
        <v>46</v>
      </c>
      <c r="H1" s="3" t="s">
        <v>47</v>
      </c>
      <c r="I1" s="3" t="s">
        <v>48</v>
      </c>
      <c r="J1" s="31" t="s">
        <v>14</v>
      </c>
    </row>
    <row r="2" spans="1:10" ht="15.75" thickBot="1" x14ac:dyDescent="0.3">
      <c r="A2" s="38">
        <v>1</v>
      </c>
      <c r="B2" s="5" t="s">
        <v>19</v>
      </c>
      <c r="C2" s="8">
        <v>225000</v>
      </c>
      <c r="D2" s="8">
        <v>38250</v>
      </c>
      <c r="E2" s="6"/>
      <c r="F2" s="8">
        <v>36000</v>
      </c>
      <c r="G2" s="9">
        <v>3591000</v>
      </c>
      <c r="H2" s="9">
        <v>3591000</v>
      </c>
      <c r="I2" s="7" t="s">
        <v>49</v>
      </c>
      <c r="J2" s="32">
        <v>75000</v>
      </c>
    </row>
    <row r="3" spans="1:10" ht="15.75" thickBot="1" x14ac:dyDescent="0.3">
      <c r="A3" s="38">
        <v>2</v>
      </c>
      <c r="B3" s="5" t="s">
        <v>50</v>
      </c>
      <c r="C3" s="8">
        <v>144200</v>
      </c>
      <c r="D3" s="8">
        <v>24514</v>
      </c>
      <c r="E3" s="6"/>
      <c r="F3" s="8">
        <v>23072</v>
      </c>
      <c r="G3" s="9">
        <v>2301432</v>
      </c>
      <c r="H3" s="9">
        <v>2301432</v>
      </c>
      <c r="I3" s="7" t="s">
        <v>49</v>
      </c>
      <c r="J3" s="32">
        <v>31300</v>
      </c>
    </row>
    <row r="4" spans="1:10" ht="16.5" thickBot="1" x14ac:dyDescent="0.3">
      <c r="A4" s="38">
        <v>3</v>
      </c>
      <c r="B4" s="10" t="s">
        <v>51</v>
      </c>
      <c r="C4" s="8">
        <v>78800</v>
      </c>
      <c r="D4" s="8">
        <v>13396</v>
      </c>
      <c r="E4" s="8">
        <v>4212</v>
      </c>
      <c r="F4" s="8">
        <v>12608</v>
      </c>
      <c r="G4" s="9">
        <v>1308192</v>
      </c>
      <c r="H4" s="9">
        <v>1308192</v>
      </c>
      <c r="I4" s="7" t="s">
        <v>49</v>
      </c>
      <c r="J4" s="32">
        <v>11610</v>
      </c>
    </row>
    <row r="5" spans="1:10" ht="16.5" thickBot="1" x14ac:dyDescent="0.3">
      <c r="A5" s="38">
        <v>4</v>
      </c>
      <c r="B5" s="11" t="s">
        <v>52</v>
      </c>
      <c r="C5" s="12">
        <v>101500</v>
      </c>
      <c r="D5" s="12">
        <v>17255</v>
      </c>
      <c r="E5" s="12">
        <v>4212</v>
      </c>
      <c r="F5" s="12">
        <v>16240</v>
      </c>
      <c r="G5" s="13">
        <v>1670484</v>
      </c>
      <c r="H5" s="13">
        <v>1670484</v>
      </c>
      <c r="I5" s="14" t="s">
        <v>53</v>
      </c>
      <c r="J5" s="33">
        <v>20680</v>
      </c>
    </row>
    <row r="6" spans="1:10" ht="32.25" thickBot="1" x14ac:dyDescent="0.3">
      <c r="A6" s="38">
        <v>5</v>
      </c>
      <c r="B6" s="11" t="s">
        <v>54</v>
      </c>
      <c r="C6" s="12">
        <v>101500</v>
      </c>
      <c r="D6" s="12">
        <v>17255</v>
      </c>
      <c r="E6" s="12">
        <v>4212</v>
      </c>
      <c r="F6" s="12">
        <v>16240</v>
      </c>
      <c r="G6" s="13">
        <v>1670484</v>
      </c>
      <c r="H6" s="13">
        <v>1670484</v>
      </c>
      <c r="I6" s="14" t="s">
        <v>53</v>
      </c>
      <c r="J6" s="33">
        <v>20680</v>
      </c>
    </row>
    <row r="7" spans="1:10" ht="32.25" thickBot="1" x14ac:dyDescent="0.3">
      <c r="A7" s="38">
        <v>6</v>
      </c>
      <c r="B7" s="11" t="s">
        <v>55</v>
      </c>
      <c r="C7" s="12">
        <v>101500</v>
      </c>
      <c r="D7" s="12">
        <v>17255</v>
      </c>
      <c r="E7" s="12">
        <v>4212</v>
      </c>
      <c r="F7" s="12">
        <v>16240</v>
      </c>
      <c r="G7" s="13">
        <v>1670484</v>
      </c>
      <c r="H7" s="13">
        <v>1670484</v>
      </c>
      <c r="I7" s="14" t="s">
        <v>53</v>
      </c>
      <c r="J7" s="33">
        <v>20680</v>
      </c>
    </row>
    <row r="8" spans="1:10" ht="32.25" thickBot="1" x14ac:dyDescent="0.3">
      <c r="A8" s="38">
        <v>7</v>
      </c>
      <c r="B8" s="10" t="s">
        <v>56</v>
      </c>
      <c r="C8" s="8">
        <v>101500</v>
      </c>
      <c r="D8" s="8">
        <v>17255</v>
      </c>
      <c r="E8" s="8">
        <v>4212</v>
      </c>
      <c r="F8" s="8">
        <v>16240</v>
      </c>
      <c r="G8" s="9">
        <v>1670484</v>
      </c>
      <c r="H8" s="9">
        <v>1670484</v>
      </c>
      <c r="I8" s="7" t="s">
        <v>49</v>
      </c>
      <c r="J8" s="32">
        <v>20040</v>
      </c>
    </row>
    <row r="9" spans="1:10" ht="16.5" thickBot="1" x14ac:dyDescent="0.3">
      <c r="A9" s="38">
        <v>8</v>
      </c>
      <c r="B9" s="15" t="s">
        <v>57</v>
      </c>
      <c r="C9" s="12">
        <v>101500</v>
      </c>
      <c r="D9" s="12">
        <v>17255</v>
      </c>
      <c r="E9" s="12">
        <v>4212</v>
      </c>
      <c r="F9" s="12">
        <v>16240</v>
      </c>
      <c r="G9" s="13">
        <v>1670484</v>
      </c>
      <c r="H9" s="13">
        <v>1670484</v>
      </c>
      <c r="I9" s="14" t="s">
        <v>53</v>
      </c>
      <c r="J9" s="33">
        <v>20680</v>
      </c>
    </row>
    <row r="10" spans="1:10" ht="32.25" thickBot="1" x14ac:dyDescent="0.3">
      <c r="A10" s="38">
        <v>9</v>
      </c>
      <c r="B10" s="10" t="s">
        <v>58</v>
      </c>
      <c r="C10" s="8">
        <v>101500</v>
      </c>
      <c r="D10" s="8">
        <v>17255</v>
      </c>
      <c r="E10" s="8">
        <v>4212</v>
      </c>
      <c r="F10" s="8">
        <v>16240</v>
      </c>
      <c r="G10" s="9">
        <v>1670484</v>
      </c>
      <c r="H10" s="9">
        <v>1670484</v>
      </c>
      <c r="I10" s="7" t="s">
        <v>49</v>
      </c>
      <c r="J10" s="32">
        <v>20500</v>
      </c>
    </row>
    <row r="11" spans="1:10" ht="32.25" thickBot="1" x14ac:dyDescent="0.3">
      <c r="A11" s="38">
        <v>10</v>
      </c>
      <c r="B11" s="11" t="s">
        <v>59</v>
      </c>
      <c r="C11" s="12">
        <v>101500</v>
      </c>
      <c r="D11" s="12">
        <v>17255</v>
      </c>
      <c r="E11" s="12">
        <v>4212</v>
      </c>
      <c r="F11" s="12">
        <v>16240</v>
      </c>
      <c r="G11" s="13">
        <v>1670484</v>
      </c>
      <c r="H11" s="13">
        <v>1670484</v>
      </c>
      <c r="I11" s="14" t="s">
        <v>53</v>
      </c>
      <c r="J11" s="33">
        <v>20680</v>
      </c>
    </row>
    <row r="12" spans="1:10" ht="32.25" thickBot="1" x14ac:dyDescent="0.3">
      <c r="A12" s="39">
        <v>11</v>
      </c>
      <c r="B12" s="10" t="s">
        <v>60</v>
      </c>
      <c r="C12" s="8">
        <v>101500</v>
      </c>
      <c r="D12" s="8">
        <v>17255</v>
      </c>
      <c r="E12" s="8">
        <v>4212</v>
      </c>
      <c r="F12" s="8">
        <v>16240</v>
      </c>
      <c r="G12" s="9">
        <v>1670484</v>
      </c>
      <c r="H12" s="9">
        <v>1670484</v>
      </c>
      <c r="I12" s="7" t="s">
        <v>49</v>
      </c>
      <c r="J12" s="32">
        <v>20500</v>
      </c>
    </row>
    <row r="13" spans="1:10" ht="32.25" thickBot="1" x14ac:dyDescent="0.3">
      <c r="A13" s="39">
        <v>12</v>
      </c>
      <c r="B13" s="16" t="s">
        <v>61</v>
      </c>
      <c r="C13" s="12">
        <v>101500</v>
      </c>
      <c r="D13" s="12">
        <v>17255</v>
      </c>
      <c r="E13" s="12">
        <v>4212</v>
      </c>
      <c r="F13" s="12">
        <v>16240</v>
      </c>
      <c r="G13" s="13">
        <v>1670484</v>
      </c>
      <c r="H13" s="13">
        <v>1670484</v>
      </c>
      <c r="I13" s="14" t="s">
        <v>53</v>
      </c>
      <c r="J13" s="33">
        <v>20680</v>
      </c>
    </row>
    <row r="14" spans="1:10" ht="32.25" thickBot="1" x14ac:dyDescent="0.3">
      <c r="A14" s="39">
        <v>13</v>
      </c>
      <c r="B14" s="10" t="s">
        <v>62</v>
      </c>
      <c r="C14" s="8">
        <v>101500</v>
      </c>
      <c r="D14" s="8">
        <v>17255</v>
      </c>
      <c r="E14" s="8">
        <v>4212</v>
      </c>
      <c r="F14" s="8">
        <v>16240</v>
      </c>
      <c r="G14" s="9">
        <v>1670484</v>
      </c>
      <c r="H14" s="9">
        <v>1670484</v>
      </c>
      <c r="I14" s="7" t="s">
        <v>49</v>
      </c>
      <c r="J14" s="32">
        <v>17570</v>
      </c>
    </row>
    <row r="15" spans="1:10" ht="32.25" thickBot="1" x14ac:dyDescent="0.3">
      <c r="A15" s="39">
        <v>14</v>
      </c>
      <c r="B15" s="17" t="s">
        <v>63</v>
      </c>
      <c r="C15" s="8">
        <v>73200</v>
      </c>
      <c r="D15" s="8">
        <v>12444</v>
      </c>
      <c r="E15" s="8">
        <v>4212</v>
      </c>
      <c r="F15" s="8">
        <v>11712</v>
      </c>
      <c r="G15" s="9">
        <v>1218816</v>
      </c>
      <c r="H15" s="9">
        <v>1218816</v>
      </c>
      <c r="I15" s="7" t="s">
        <v>49</v>
      </c>
      <c r="J15" s="32">
        <v>7980</v>
      </c>
    </row>
    <row r="16" spans="1:10" ht="32.25" thickBot="1" x14ac:dyDescent="0.3">
      <c r="A16" s="39">
        <v>15</v>
      </c>
      <c r="B16" s="10" t="s">
        <v>64</v>
      </c>
      <c r="C16" s="8">
        <v>101500</v>
      </c>
      <c r="D16" s="8">
        <v>17255</v>
      </c>
      <c r="E16" s="8">
        <v>4212</v>
      </c>
      <c r="F16" s="8">
        <v>16240</v>
      </c>
      <c r="G16" s="9">
        <v>1670484</v>
      </c>
      <c r="H16" s="9">
        <v>1670484</v>
      </c>
      <c r="I16" s="7" t="s">
        <v>49</v>
      </c>
      <c r="J16" s="32">
        <v>20500</v>
      </c>
    </row>
    <row r="17" spans="1:10" ht="16.5" thickBot="1" x14ac:dyDescent="0.3">
      <c r="A17" s="39">
        <v>16</v>
      </c>
      <c r="B17" s="10" t="s">
        <v>65</v>
      </c>
      <c r="C17" s="8">
        <v>70900</v>
      </c>
      <c r="D17" s="8">
        <v>12053</v>
      </c>
      <c r="E17" s="8">
        <v>4212</v>
      </c>
      <c r="F17" s="8">
        <v>11344</v>
      </c>
      <c r="G17" s="9">
        <v>1182108</v>
      </c>
      <c r="H17" s="9">
        <v>1182108</v>
      </c>
      <c r="I17" s="7" t="s">
        <v>49</v>
      </c>
      <c r="J17" s="32">
        <v>6610</v>
      </c>
    </row>
    <row r="18" spans="1:10" ht="16.5" thickBot="1" x14ac:dyDescent="0.3">
      <c r="A18" s="39">
        <v>17</v>
      </c>
      <c r="B18" s="10" t="s">
        <v>66</v>
      </c>
      <c r="C18" s="8">
        <v>101500</v>
      </c>
      <c r="D18" s="8">
        <v>17255</v>
      </c>
      <c r="E18" s="8">
        <v>4212</v>
      </c>
      <c r="F18" s="8">
        <v>16240</v>
      </c>
      <c r="G18" s="9">
        <v>1670484</v>
      </c>
      <c r="H18" s="9">
        <v>1670484</v>
      </c>
      <c r="I18" s="7" t="s">
        <v>49</v>
      </c>
      <c r="J18" s="32">
        <v>14650</v>
      </c>
    </row>
    <row r="19" spans="1:10" ht="16.5" thickBot="1" x14ac:dyDescent="0.3">
      <c r="A19" s="39">
        <v>18</v>
      </c>
      <c r="B19" s="16" t="s">
        <v>67</v>
      </c>
      <c r="C19" s="12">
        <v>70900</v>
      </c>
      <c r="D19" s="12">
        <v>12053</v>
      </c>
      <c r="E19" s="12">
        <v>4212</v>
      </c>
      <c r="F19" s="12">
        <v>11344</v>
      </c>
      <c r="G19" s="13">
        <v>1182108</v>
      </c>
      <c r="H19" s="13">
        <v>1182108</v>
      </c>
      <c r="I19" s="14" t="s">
        <v>53</v>
      </c>
      <c r="J19" s="33">
        <v>9660</v>
      </c>
    </row>
    <row r="20" spans="1:10" ht="16.5" thickBot="1" x14ac:dyDescent="0.3">
      <c r="A20" s="39">
        <v>19</v>
      </c>
      <c r="B20" s="10" t="s">
        <v>68</v>
      </c>
      <c r="C20" s="8">
        <v>73200</v>
      </c>
      <c r="D20" s="8">
        <v>12444</v>
      </c>
      <c r="E20" s="8">
        <v>4212</v>
      </c>
      <c r="F20" s="8">
        <v>11712</v>
      </c>
      <c r="G20" s="9">
        <v>1218816</v>
      </c>
      <c r="H20" s="9">
        <v>1218816</v>
      </c>
      <c r="I20" s="7" t="s">
        <v>49</v>
      </c>
      <c r="J20" s="32">
        <v>8320</v>
      </c>
    </row>
    <row r="21" spans="1:10" ht="16.5" thickBot="1" x14ac:dyDescent="0.3">
      <c r="A21" s="39">
        <v>20</v>
      </c>
      <c r="B21" s="16" t="s">
        <v>69</v>
      </c>
      <c r="C21" s="12">
        <v>73200</v>
      </c>
      <c r="D21" s="12">
        <v>12444</v>
      </c>
      <c r="E21" s="12">
        <v>4212</v>
      </c>
      <c r="F21" s="12">
        <v>11712</v>
      </c>
      <c r="G21" s="13">
        <v>1218816</v>
      </c>
      <c r="H21" s="13">
        <v>1218816</v>
      </c>
      <c r="I21" s="14" t="s">
        <v>53</v>
      </c>
      <c r="J21" s="33">
        <v>10290</v>
      </c>
    </row>
    <row r="22" spans="1:10" ht="16.5" thickBot="1" x14ac:dyDescent="0.3">
      <c r="A22" s="39">
        <v>21</v>
      </c>
      <c r="B22" s="16" t="s">
        <v>70</v>
      </c>
      <c r="C22" s="12">
        <v>101500</v>
      </c>
      <c r="D22" s="12">
        <v>17255</v>
      </c>
      <c r="E22" s="12">
        <v>4212</v>
      </c>
      <c r="F22" s="12">
        <v>16240</v>
      </c>
      <c r="G22" s="13">
        <v>1670484</v>
      </c>
      <c r="H22" s="13">
        <v>1670484</v>
      </c>
      <c r="I22" s="14" t="s">
        <v>53</v>
      </c>
      <c r="J22" s="33">
        <v>20680</v>
      </c>
    </row>
    <row r="23" spans="1:10" ht="16.5" thickBot="1" x14ac:dyDescent="0.3">
      <c r="A23" s="39">
        <v>22</v>
      </c>
      <c r="B23" s="18" t="s">
        <v>71</v>
      </c>
      <c r="C23" s="19">
        <v>70900</v>
      </c>
      <c r="D23" s="19">
        <v>12053</v>
      </c>
      <c r="E23" s="19">
        <v>4212</v>
      </c>
      <c r="F23" s="19">
        <v>11344</v>
      </c>
      <c r="G23" s="9">
        <v>1182108</v>
      </c>
      <c r="H23" s="9">
        <v>1182108</v>
      </c>
      <c r="I23" s="7" t="s">
        <v>49</v>
      </c>
      <c r="J23" s="32">
        <v>8470</v>
      </c>
    </row>
    <row r="24" spans="1:10" ht="32.25" thickBot="1" x14ac:dyDescent="0.3">
      <c r="A24" s="39">
        <v>23</v>
      </c>
      <c r="B24" s="17" t="s">
        <v>24</v>
      </c>
      <c r="C24" s="8">
        <v>101500</v>
      </c>
      <c r="D24" s="8">
        <v>17255</v>
      </c>
      <c r="E24" s="8">
        <v>4212</v>
      </c>
      <c r="F24" s="8">
        <v>16240</v>
      </c>
      <c r="G24" s="9">
        <v>1670484</v>
      </c>
      <c r="H24" s="9">
        <v>1670484</v>
      </c>
      <c r="I24" s="7" t="s">
        <v>49</v>
      </c>
      <c r="J24" s="32">
        <v>21990</v>
      </c>
    </row>
    <row r="25" spans="1:10" ht="16.5" thickBot="1" x14ac:dyDescent="0.3">
      <c r="A25" s="39">
        <v>24</v>
      </c>
      <c r="B25" s="10" t="s">
        <v>72</v>
      </c>
      <c r="C25" s="8">
        <v>44900</v>
      </c>
      <c r="D25" s="8">
        <v>7633</v>
      </c>
      <c r="E25" s="8">
        <v>2106</v>
      </c>
      <c r="F25" s="8">
        <v>7184</v>
      </c>
      <c r="G25" s="9">
        <v>741876</v>
      </c>
      <c r="H25" s="9">
        <v>741876</v>
      </c>
      <c r="I25" s="7" t="s">
        <v>49</v>
      </c>
      <c r="J25" s="32">
        <v>0</v>
      </c>
    </row>
    <row r="26" spans="1:10" ht="32.25" thickBot="1" x14ac:dyDescent="0.3">
      <c r="A26" s="39">
        <v>25</v>
      </c>
      <c r="B26" s="10" t="s">
        <v>27</v>
      </c>
      <c r="C26" s="8">
        <v>44900</v>
      </c>
      <c r="D26" s="8">
        <v>7633</v>
      </c>
      <c r="E26" s="8">
        <v>2106</v>
      </c>
      <c r="F26" s="8">
        <v>7184</v>
      </c>
      <c r="G26" s="9">
        <v>741876</v>
      </c>
      <c r="H26" s="9">
        <v>741876</v>
      </c>
      <c r="I26" s="7" t="s">
        <v>49</v>
      </c>
      <c r="J26" s="32">
        <v>0</v>
      </c>
    </row>
    <row r="27" spans="1:10" ht="15.75" thickBot="1" x14ac:dyDescent="0.3">
      <c r="A27" s="38">
        <v>26</v>
      </c>
      <c r="B27" s="5" t="s">
        <v>29</v>
      </c>
      <c r="C27" s="8">
        <v>44900</v>
      </c>
      <c r="D27" s="8">
        <v>7633</v>
      </c>
      <c r="E27" s="8">
        <v>2106</v>
      </c>
      <c r="F27" s="8">
        <v>7184</v>
      </c>
      <c r="G27" s="9">
        <v>741876</v>
      </c>
      <c r="H27" s="9">
        <v>741876</v>
      </c>
      <c r="I27" s="7" t="s">
        <v>49</v>
      </c>
      <c r="J27" s="32">
        <v>0</v>
      </c>
    </row>
    <row r="28" spans="1:10" ht="15.75" thickBot="1" x14ac:dyDescent="0.3">
      <c r="A28" s="38">
        <v>27</v>
      </c>
      <c r="B28" s="5" t="s">
        <v>31</v>
      </c>
      <c r="C28" s="8">
        <v>29200</v>
      </c>
      <c r="D28" s="8">
        <v>4964</v>
      </c>
      <c r="E28" s="8">
        <v>2106</v>
      </c>
      <c r="F28" s="8">
        <v>4672</v>
      </c>
      <c r="G28" s="9">
        <v>491304</v>
      </c>
      <c r="H28" s="9">
        <v>491304</v>
      </c>
      <c r="I28" s="7" t="s">
        <v>49</v>
      </c>
      <c r="J28" s="32">
        <v>0</v>
      </c>
    </row>
    <row r="29" spans="1:10" ht="15.75" thickBot="1" x14ac:dyDescent="0.3">
      <c r="A29" s="38">
        <v>28</v>
      </c>
      <c r="B29" s="5" t="s">
        <v>33</v>
      </c>
      <c r="C29" s="8">
        <v>35400</v>
      </c>
      <c r="D29" s="8">
        <v>6018</v>
      </c>
      <c r="E29" s="8">
        <v>2106</v>
      </c>
      <c r="F29" s="8">
        <v>5664</v>
      </c>
      <c r="G29" s="9">
        <v>590256</v>
      </c>
      <c r="H29" s="9">
        <v>590256</v>
      </c>
      <c r="I29" s="7" t="s">
        <v>49</v>
      </c>
      <c r="J29" s="32">
        <v>0</v>
      </c>
    </row>
    <row r="30" spans="1:10" ht="15.75" thickBot="1" x14ac:dyDescent="0.3">
      <c r="A30" s="38">
        <v>29</v>
      </c>
      <c r="B30" s="5" t="s">
        <v>73</v>
      </c>
      <c r="C30" s="8">
        <v>35400</v>
      </c>
      <c r="D30" s="8">
        <v>6018</v>
      </c>
      <c r="E30" s="8">
        <v>2106</v>
      </c>
      <c r="F30" s="8">
        <v>5664</v>
      </c>
      <c r="G30" s="9">
        <v>590256</v>
      </c>
      <c r="H30" s="9">
        <v>590256</v>
      </c>
      <c r="I30" s="7" t="s">
        <v>49</v>
      </c>
      <c r="J30" s="32">
        <v>0</v>
      </c>
    </row>
    <row r="31" spans="1:10" ht="17.25" thickBot="1" x14ac:dyDescent="0.3">
      <c r="A31" s="20"/>
      <c r="B31" s="5" t="s">
        <v>36</v>
      </c>
      <c r="C31" s="21">
        <v>2536000</v>
      </c>
      <c r="D31" s="21">
        <v>431120</v>
      </c>
      <c r="E31" s="21">
        <v>101088</v>
      </c>
      <c r="F31" s="21">
        <v>405760</v>
      </c>
      <c r="G31" s="21">
        <v>41687616</v>
      </c>
      <c r="H31" s="21">
        <v>41687616</v>
      </c>
      <c r="I31" s="7"/>
      <c r="J31" s="34">
        <v>449750</v>
      </c>
    </row>
    <row r="32" spans="1:10" ht="15.75" thickBot="1" x14ac:dyDescent="0.3">
      <c r="A32" s="22"/>
      <c r="B32" s="23"/>
      <c r="C32" s="24" t="s">
        <v>74</v>
      </c>
      <c r="D32" s="23"/>
      <c r="E32" s="23"/>
      <c r="F32" s="23"/>
      <c r="G32" s="23"/>
      <c r="H32" s="23"/>
      <c r="I32" s="23"/>
      <c r="J32" s="35"/>
    </row>
    <row r="33" spans="1:10" ht="15.75" thickBot="1" x14ac:dyDescent="0.3">
      <c r="A33" s="25">
        <v>1</v>
      </c>
      <c r="B33" s="7" t="s">
        <v>75</v>
      </c>
      <c r="C33" s="9">
        <v>80000</v>
      </c>
      <c r="D33" s="7"/>
      <c r="E33" s="7"/>
      <c r="F33" s="7"/>
      <c r="G33" s="9">
        <v>960000</v>
      </c>
      <c r="H33" s="9">
        <v>960000</v>
      </c>
      <c r="I33" s="7" t="s">
        <v>49</v>
      </c>
      <c r="J33" s="32">
        <v>7890</v>
      </c>
    </row>
    <row r="34" spans="1:10" ht="15.75" thickBot="1" x14ac:dyDescent="0.3">
      <c r="A34" s="25">
        <v>2</v>
      </c>
      <c r="B34" s="7" t="s">
        <v>76</v>
      </c>
      <c r="C34" s="9">
        <v>50000</v>
      </c>
      <c r="D34" s="7"/>
      <c r="E34" s="7"/>
      <c r="F34" s="7"/>
      <c r="G34" s="9">
        <v>600000</v>
      </c>
      <c r="H34" s="9">
        <v>600000</v>
      </c>
      <c r="I34" s="7" t="s">
        <v>49</v>
      </c>
      <c r="J34" s="32">
        <v>1660</v>
      </c>
    </row>
    <row r="35" spans="1:10" ht="15.75" thickBot="1" x14ac:dyDescent="0.3">
      <c r="A35" s="26"/>
      <c r="B35" s="27"/>
      <c r="C35" s="28">
        <v>130000</v>
      </c>
      <c r="D35" s="27"/>
      <c r="E35" s="27"/>
      <c r="F35" s="27"/>
      <c r="G35" s="28">
        <v>1560000</v>
      </c>
      <c r="H35" s="28">
        <v>1560000</v>
      </c>
      <c r="I35" s="27" t="s">
        <v>49</v>
      </c>
      <c r="J35" s="32">
        <v>9550</v>
      </c>
    </row>
    <row r="36" spans="1:10" ht="17.25" thickBot="1" x14ac:dyDescent="0.3">
      <c r="A36" s="29"/>
      <c r="B36" s="30" t="s">
        <v>36</v>
      </c>
      <c r="C36" s="29">
        <f>SUM(C33:C35)</f>
        <v>260000</v>
      </c>
      <c r="D36" s="29"/>
      <c r="E36" s="29"/>
      <c r="F36" s="29"/>
      <c r="G36" s="29"/>
      <c r="H36" s="29"/>
      <c r="I36" s="29"/>
      <c r="J36" s="36">
        <f>SUM(J33:J35)</f>
        <v>19100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O8"/>
  <sheetViews>
    <sheetView workbookViewId="0">
      <selection activeCell="A8" sqref="A8"/>
    </sheetView>
  </sheetViews>
  <sheetFormatPr defaultRowHeight="15" x14ac:dyDescent="0.25"/>
  <cols>
    <col min="1" max="1" width="21.7109375" bestFit="1" customWidth="1"/>
    <col min="2" max="2" width="7.140625" bestFit="1" customWidth="1"/>
    <col min="3" max="3" width="7" bestFit="1" customWidth="1"/>
    <col min="4" max="4" width="6.7109375" bestFit="1" customWidth="1"/>
    <col min="5" max="5" width="7.28515625" bestFit="1" customWidth="1"/>
    <col min="6" max="6" width="7" bestFit="1" customWidth="1"/>
    <col min="7" max="7" width="6.5703125" bestFit="1" customWidth="1"/>
    <col min="8" max="8" width="7" bestFit="1" customWidth="1"/>
    <col min="9" max="9" width="7.28515625" bestFit="1" customWidth="1"/>
    <col min="10" max="10" width="6.85546875" customWidth="1"/>
    <col min="11" max="11" width="7.5703125" bestFit="1" customWidth="1"/>
    <col min="12" max="13" width="7.5703125" customWidth="1"/>
    <col min="14" max="14" width="10" bestFit="1" customWidth="1"/>
    <col min="15" max="15" width="12.7109375" bestFit="1" customWidth="1"/>
  </cols>
  <sheetData>
    <row r="1" spans="1:15" ht="15.75" thickBot="1" x14ac:dyDescent="0.3">
      <c r="A1" t="s">
        <v>90</v>
      </c>
    </row>
    <row r="2" spans="1:15" ht="30" x14ac:dyDescent="0.25">
      <c r="A2" s="40" t="s">
        <v>84</v>
      </c>
      <c r="B2" s="41">
        <v>43678</v>
      </c>
      <c r="C2" s="41">
        <v>43709</v>
      </c>
      <c r="D2" s="41">
        <v>43739</v>
      </c>
      <c r="E2" s="41">
        <v>43770</v>
      </c>
      <c r="F2" s="41">
        <v>43800</v>
      </c>
      <c r="G2" s="41">
        <v>43831</v>
      </c>
      <c r="H2" s="41">
        <v>43862</v>
      </c>
      <c r="I2" s="41">
        <v>43891</v>
      </c>
      <c r="J2" s="41">
        <v>43922</v>
      </c>
      <c r="K2" s="41">
        <v>43952</v>
      </c>
      <c r="L2" s="41">
        <v>43983</v>
      </c>
      <c r="M2" s="41">
        <v>44013</v>
      </c>
      <c r="N2" s="42" t="s">
        <v>85</v>
      </c>
      <c r="O2" s="43" t="s">
        <v>86</v>
      </c>
    </row>
    <row r="3" spans="1:15" x14ac:dyDescent="0.25">
      <c r="A3" s="44" t="s">
        <v>78</v>
      </c>
      <c r="B3" s="29"/>
      <c r="C3" s="29">
        <v>5000</v>
      </c>
      <c r="D3" s="29">
        <v>5000</v>
      </c>
      <c r="E3" s="29">
        <v>5000</v>
      </c>
      <c r="F3" s="29">
        <v>5000</v>
      </c>
      <c r="G3" s="29">
        <v>5000</v>
      </c>
      <c r="H3" s="29">
        <v>5000</v>
      </c>
      <c r="I3" s="29">
        <v>5000</v>
      </c>
      <c r="J3" s="29">
        <v>5000</v>
      </c>
      <c r="K3" s="29">
        <v>5000</v>
      </c>
      <c r="L3" s="29">
        <v>5000</v>
      </c>
      <c r="M3" s="29">
        <v>0</v>
      </c>
      <c r="N3" s="29">
        <f>SUM(C3:M3)</f>
        <v>50000</v>
      </c>
      <c r="O3" s="45">
        <f t="shared" ref="O3:O8" si="0">50000-N3</f>
        <v>0</v>
      </c>
    </row>
    <row r="4" spans="1:15" x14ac:dyDescent="0.25">
      <c r="A4" s="44" t="s">
        <v>79</v>
      </c>
      <c r="B4" s="29"/>
      <c r="C4" s="29">
        <v>5000</v>
      </c>
      <c r="D4" s="29">
        <v>5000</v>
      </c>
      <c r="E4" s="29">
        <v>5000</v>
      </c>
      <c r="F4" s="29">
        <v>5000</v>
      </c>
      <c r="G4" s="29">
        <v>5000</v>
      </c>
      <c r="H4" s="29">
        <v>5000</v>
      </c>
      <c r="I4" s="29">
        <v>5000</v>
      </c>
      <c r="J4" s="29">
        <v>5000</v>
      </c>
      <c r="K4" s="29">
        <v>5000</v>
      </c>
      <c r="L4" s="29">
        <v>5000</v>
      </c>
      <c r="M4" s="29">
        <v>0</v>
      </c>
      <c r="N4" s="29">
        <f>SUM(C4:L4)</f>
        <v>50000</v>
      </c>
      <c r="O4" s="45">
        <f t="shared" si="0"/>
        <v>0</v>
      </c>
    </row>
    <row r="5" spans="1:15" x14ac:dyDescent="0.25">
      <c r="A5" s="44" t="s">
        <v>80</v>
      </c>
      <c r="B5" s="29">
        <v>5000</v>
      </c>
      <c r="C5" s="29">
        <v>5000</v>
      </c>
      <c r="D5" s="29">
        <v>5000</v>
      </c>
      <c r="E5" s="29">
        <v>5000</v>
      </c>
      <c r="F5" s="29">
        <v>5000</v>
      </c>
      <c r="G5" s="29">
        <v>5000</v>
      </c>
      <c r="H5" s="29">
        <v>5000</v>
      </c>
      <c r="I5" s="29">
        <v>5000</v>
      </c>
      <c r="J5" s="29">
        <v>5000</v>
      </c>
      <c r="K5" s="29">
        <v>5000</v>
      </c>
      <c r="L5" s="29">
        <v>0</v>
      </c>
      <c r="M5" s="29">
        <v>0</v>
      </c>
      <c r="N5" s="29">
        <f>SUM(B5:L5)</f>
        <v>50000</v>
      </c>
      <c r="O5" s="45">
        <f t="shared" si="0"/>
        <v>0</v>
      </c>
    </row>
    <row r="6" spans="1:15" x14ac:dyDescent="0.25">
      <c r="A6" s="44" t="s">
        <v>81</v>
      </c>
      <c r="B6" s="29">
        <v>5000</v>
      </c>
      <c r="C6" s="29">
        <v>5000</v>
      </c>
      <c r="D6" s="29">
        <v>5000</v>
      </c>
      <c r="E6" s="29">
        <v>5000</v>
      </c>
      <c r="F6" s="29">
        <v>5000</v>
      </c>
      <c r="G6" s="29">
        <v>5000</v>
      </c>
      <c r="H6" s="29">
        <v>5000</v>
      </c>
      <c r="I6" s="29">
        <v>5000</v>
      </c>
      <c r="J6" s="29">
        <v>5000</v>
      </c>
      <c r="K6" s="29">
        <v>5000</v>
      </c>
      <c r="L6" s="29">
        <v>0</v>
      </c>
      <c r="M6" s="29">
        <v>0</v>
      </c>
      <c r="N6" s="29">
        <f>SUM(B6:L6)</f>
        <v>50000</v>
      </c>
      <c r="O6" s="45">
        <f t="shared" si="0"/>
        <v>0</v>
      </c>
    </row>
    <row r="7" spans="1:15" x14ac:dyDescent="0.25">
      <c r="A7" s="44" t="s">
        <v>82</v>
      </c>
      <c r="B7" s="29">
        <v>5000</v>
      </c>
      <c r="C7" s="29">
        <v>5000</v>
      </c>
      <c r="D7" s="29">
        <v>5000</v>
      </c>
      <c r="E7" s="29">
        <v>5000</v>
      </c>
      <c r="F7" s="29">
        <v>5000</v>
      </c>
      <c r="G7" s="29">
        <v>5000</v>
      </c>
      <c r="H7" s="29">
        <v>5000</v>
      </c>
      <c r="I7" s="29">
        <v>5000</v>
      </c>
      <c r="J7" s="29">
        <v>5000</v>
      </c>
      <c r="K7" s="29">
        <v>5000</v>
      </c>
      <c r="L7" s="29">
        <v>0</v>
      </c>
      <c r="M7" s="29">
        <v>0</v>
      </c>
      <c r="N7" s="29">
        <f>SUM(B7:L7)</f>
        <v>50000</v>
      </c>
      <c r="O7" s="45">
        <f t="shared" si="0"/>
        <v>0</v>
      </c>
    </row>
    <row r="8" spans="1:15" ht="15.75" thickBot="1" x14ac:dyDescent="0.3">
      <c r="A8" s="46" t="s">
        <v>83</v>
      </c>
      <c r="B8" s="47"/>
      <c r="C8" s="47"/>
      <c r="D8" s="47"/>
      <c r="E8" s="47">
        <v>5000</v>
      </c>
      <c r="F8" s="47">
        <v>5000</v>
      </c>
      <c r="G8" s="47">
        <v>5000</v>
      </c>
      <c r="H8" s="47">
        <v>5000</v>
      </c>
      <c r="I8" s="47">
        <v>5000</v>
      </c>
      <c r="J8" s="47">
        <v>5000</v>
      </c>
      <c r="K8" s="47">
        <v>5000</v>
      </c>
      <c r="L8" s="47">
        <v>5000</v>
      </c>
      <c r="M8" s="47">
        <v>5000</v>
      </c>
      <c r="N8" s="47">
        <f>SUM(B8:M8)</f>
        <v>45000</v>
      </c>
      <c r="O8" s="48">
        <f t="shared" si="0"/>
        <v>5000</v>
      </c>
    </row>
  </sheetData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7956-0523-4C67-B7CD-BB5F3F76EAC1}">
  <sheetPr codeName="Sheet14">
    <pageSetUpPr fitToPage="1"/>
  </sheetPr>
  <dimension ref="A1:O17"/>
  <sheetViews>
    <sheetView workbookViewId="0">
      <selection activeCell="B12" sqref="A12:XFD13"/>
    </sheetView>
  </sheetViews>
  <sheetFormatPr defaultRowHeight="15.75" x14ac:dyDescent="0.25"/>
  <cols>
    <col min="1" max="1" width="18.85546875" style="147" customWidth="1"/>
    <col min="2" max="2" width="20" style="158" customWidth="1"/>
    <col min="3" max="3" width="13.140625" style="147" customWidth="1"/>
    <col min="4" max="4" width="17.140625" style="147" customWidth="1"/>
    <col min="5" max="5" width="14.140625" style="147" customWidth="1"/>
    <col min="6" max="6" width="14.85546875" style="147" customWidth="1"/>
    <col min="7" max="7" width="17.28515625" style="147" customWidth="1"/>
    <col min="8" max="9" width="8.42578125" style="147" customWidth="1"/>
    <col min="10" max="10" width="13.28515625" style="147" customWidth="1"/>
    <col min="11" max="11" width="13.5703125" style="147" customWidth="1"/>
    <col min="12" max="12" width="9.140625" style="147"/>
    <col min="13" max="13" width="17.5703125" style="147" customWidth="1"/>
    <col min="14" max="14" width="15.5703125" style="147" customWidth="1"/>
    <col min="15" max="15" width="13.28515625" style="147" customWidth="1"/>
    <col min="16" max="16384" width="9.140625" style="147"/>
  </cols>
  <sheetData>
    <row r="1" spans="1:15" ht="16.5" thickBot="1" x14ac:dyDescent="0.3">
      <c r="A1" s="391" t="s">
        <v>289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3"/>
    </row>
    <row r="2" spans="1:15" s="157" customFormat="1" ht="63.75" customHeight="1" x14ac:dyDescent="0.25">
      <c r="A2" s="155" t="s">
        <v>276</v>
      </c>
      <c r="B2" s="156" t="s">
        <v>295</v>
      </c>
      <c r="C2" s="155" t="s">
        <v>277</v>
      </c>
      <c r="D2" s="155" t="s">
        <v>278</v>
      </c>
      <c r="E2" s="155" t="s">
        <v>279</v>
      </c>
      <c r="F2" s="156" t="s">
        <v>280</v>
      </c>
      <c r="G2" s="155" t="s">
        <v>281</v>
      </c>
      <c r="H2" s="155" t="s">
        <v>160</v>
      </c>
      <c r="I2" s="155" t="s">
        <v>282</v>
      </c>
      <c r="J2" s="155" t="s">
        <v>283</v>
      </c>
      <c r="K2" s="155" t="s">
        <v>284</v>
      </c>
      <c r="L2" s="155" t="s">
        <v>14</v>
      </c>
      <c r="M2" s="155" t="s">
        <v>285</v>
      </c>
      <c r="N2" s="155" t="s">
        <v>286</v>
      </c>
      <c r="O2" s="155" t="s">
        <v>287</v>
      </c>
    </row>
    <row r="3" spans="1:15" ht="31.5" customHeight="1" x14ac:dyDescent="0.25">
      <c r="A3" s="390" t="s">
        <v>290</v>
      </c>
      <c r="B3" s="148" t="s">
        <v>291</v>
      </c>
      <c r="C3" s="148">
        <v>139400</v>
      </c>
      <c r="D3" s="148">
        <v>139600</v>
      </c>
      <c r="E3" s="148">
        <f t="shared" ref="E3:E4" si="0">+D3-C3</f>
        <v>200</v>
      </c>
      <c r="F3" s="149">
        <v>16</v>
      </c>
      <c r="G3" s="148">
        <f>ROUND(E3*F3/28,0)</f>
        <v>114</v>
      </c>
      <c r="H3" s="148">
        <f t="shared" ref="H3:H4" si="1">ROUNDUP(G3*53/100,0)</f>
        <v>61</v>
      </c>
      <c r="I3" s="148">
        <f t="shared" ref="I3:I4" si="2">ROUND(G3*20/100,0)</f>
        <v>23</v>
      </c>
      <c r="J3" s="148">
        <f t="shared" ref="J3" si="3">+ROUND(SUM(G3+H3)*14/100,0)</f>
        <v>25</v>
      </c>
      <c r="K3" s="148">
        <f t="shared" ref="K3:K4" si="4">ROUND(SUM(G3:J3,),0)</f>
        <v>223</v>
      </c>
      <c r="L3" s="148">
        <f>ROUND(K3*10/100,0)</f>
        <v>22</v>
      </c>
      <c r="M3" s="148">
        <f t="shared" ref="M3" si="5">+ROUNDUP(SUM(G3+H3)*10/100,0)</f>
        <v>18</v>
      </c>
      <c r="N3" s="148">
        <f t="shared" ref="N3:N4" si="6">+J3</f>
        <v>25</v>
      </c>
      <c r="O3" s="148">
        <f t="shared" ref="O3:O4" si="7">ROUND(K3-L3-M3-N3,0)</f>
        <v>158</v>
      </c>
    </row>
    <row r="4" spans="1:15" ht="35.25" customHeight="1" x14ac:dyDescent="0.25">
      <c r="A4" s="390"/>
      <c r="B4" s="148" t="s">
        <v>288</v>
      </c>
      <c r="C4" s="148">
        <v>139400</v>
      </c>
      <c r="D4" s="148">
        <v>139600</v>
      </c>
      <c r="E4" s="148">
        <f t="shared" si="0"/>
        <v>200</v>
      </c>
      <c r="F4" s="149">
        <v>31</v>
      </c>
      <c r="G4" s="148">
        <f>ROUND(E4*F4/31,0)</f>
        <v>200</v>
      </c>
      <c r="H4" s="148">
        <f t="shared" si="1"/>
        <v>106</v>
      </c>
      <c r="I4" s="148">
        <f t="shared" si="2"/>
        <v>40</v>
      </c>
      <c r="J4" s="148">
        <f t="shared" ref="J4" si="8">+ROUND(SUM(G4+H4)*14/100,0)</f>
        <v>43</v>
      </c>
      <c r="K4" s="148">
        <f t="shared" si="4"/>
        <v>389</v>
      </c>
      <c r="L4" s="148">
        <f>ROUND(K4*10/100,0)</f>
        <v>39</v>
      </c>
      <c r="M4" s="148">
        <f t="shared" ref="M4" si="9">+ROUNDUP(SUM(G4+H4)*10/100,0)</f>
        <v>31</v>
      </c>
      <c r="N4" s="148">
        <f t="shared" si="6"/>
        <v>43</v>
      </c>
      <c r="O4" s="148">
        <f t="shared" si="7"/>
        <v>276</v>
      </c>
    </row>
    <row r="5" spans="1:15" x14ac:dyDescent="0.25">
      <c r="A5" s="150"/>
      <c r="B5" s="151"/>
      <c r="C5" s="151"/>
      <c r="D5" s="151"/>
      <c r="E5" s="151"/>
      <c r="F5" s="152"/>
      <c r="G5" s="151"/>
      <c r="H5" s="151"/>
      <c r="I5" s="151"/>
      <c r="J5" s="151"/>
      <c r="K5" s="151"/>
      <c r="L5" s="151"/>
      <c r="M5" s="151"/>
      <c r="N5" s="151"/>
      <c r="O5" s="151"/>
    </row>
    <row r="6" spans="1:15" ht="28.5" customHeight="1" x14ac:dyDescent="0.25">
      <c r="A6" s="394" t="s">
        <v>292</v>
      </c>
      <c r="B6" s="148" t="s">
        <v>291</v>
      </c>
      <c r="C6" s="148">
        <v>139400</v>
      </c>
      <c r="D6" s="148">
        <v>139600</v>
      </c>
      <c r="E6" s="148">
        <f t="shared" ref="E6:E7" si="10">+D6-C6</f>
        <v>200</v>
      </c>
      <c r="F6" s="149">
        <v>16</v>
      </c>
      <c r="G6" s="148">
        <f>ROUND(E6*F6/28,0)</f>
        <v>114</v>
      </c>
      <c r="H6" s="148">
        <f t="shared" ref="H6:H7" si="11">ROUNDUP(G6*53/100,0)</f>
        <v>61</v>
      </c>
      <c r="I6" s="148">
        <f t="shared" ref="I6:I7" si="12">ROUND(G6*20/100,0)</f>
        <v>23</v>
      </c>
      <c r="J6" s="148">
        <f t="shared" ref="J6:J7" si="13">+ROUND(SUM(G6+H6)*14/100,0)</f>
        <v>25</v>
      </c>
      <c r="K6" s="148">
        <f t="shared" ref="K6:K7" si="14">ROUND(SUM(G6:J6,),0)</f>
        <v>223</v>
      </c>
      <c r="L6" s="148">
        <f>ROUND(K6*10/100,0)</f>
        <v>22</v>
      </c>
      <c r="M6" s="148">
        <f t="shared" ref="M6:M7" si="15">+ROUNDUP(SUM(G6+H6)*10/100,0)</f>
        <v>18</v>
      </c>
      <c r="N6" s="148">
        <f t="shared" ref="N6:N7" si="16">+J6</f>
        <v>25</v>
      </c>
      <c r="O6" s="148">
        <f t="shared" ref="O6:O7" si="17">ROUND(K6-L6-M6-N6,0)</f>
        <v>158</v>
      </c>
    </row>
    <row r="7" spans="1:15" x14ac:dyDescent="0.25">
      <c r="A7" s="395"/>
      <c r="B7" s="148" t="s">
        <v>288</v>
      </c>
      <c r="C7" s="148">
        <v>139400</v>
      </c>
      <c r="D7" s="148">
        <v>139600</v>
      </c>
      <c r="E7" s="148">
        <f t="shared" si="10"/>
        <v>200</v>
      </c>
      <c r="F7" s="149">
        <v>28</v>
      </c>
      <c r="G7" s="148">
        <f>ROUND(E7*F7/28,0)</f>
        <v>200</v>
      </c>
      <c r="H7" s="148">
        <f t="shared" si="11"/>
        <v>106</v>
      </c>
      <c r="I7" s="148">
        <f t="shared" si="12"/>
        <v>40</v>
      </c>
      <c r="J7" s="148">
        <f t="shared" si="13"/>
        <v>43</v>
      </c>
      <c r="K7" s="148">
        <f t="shared" si="14"/>
        <v>389</v>
      </c>
      <c r="L7" s="148">
        <f>ROUND(K7*10/100,0)</f>
        <v>39</v>
      </c>
      <c r="M7" s="148">
        <f t="shared" si="15"/>
        <v>31</v>
      </c>
      <c r="N7" s="148">
        <f t="shared" si="16"/>
        <v>43</v>
      </c>
      <c r="O7" s="148">
        <f t="shared" si="17"/>
        <v>276</v>
      </c>
    </row>
    <row r="8" spans="1:15" x14ac:dyDescent="0.25">
      <c r="A8" s="153"/>
      <c r="B8" s="148"/>
      <c r="C8" s="148"/>
      <c r="D8" s="148"/>
      <c r="E8" s="148"/>
      <c r="F8" s="149"/>
      <c r="G8" s="148"/>
      <c r="H8" s="148"/>
      <c r="I8" s="148"/>
      <c r="J8" s="148"/>
      <c r="K8" s="148"/>
      <c r="L8" s="148"/>
      <c r="M8" s="148"/>
      <c r="N8" s="148"/>
      <c r="O8" s="148"/>
    </row>
    <row r="9" spans="1:15" ht="38.25" customHeight="1" x14ac:dyDescent="0.25">
      <c r="A9" s="390" t="s">
        <v>293</v>
      </c>
      <c r="B9" s="148" t="s">
        <v>291</v>
      </c>
      <c r="C9" s="148">
        <v>135300</v>
      </c>
      <c r="D9" s="148">
        <v>139600</v>
      </c>
      <c r="E9" s="148">
        <f t="shared" ref="E9:E10" si="18">+D9-C9</f>
        <v>4300</v>
      </c>
      <c r="F9" s="149">
        <v>16</v>
      </c>
      <c r="G9" s="148">
        <f>ROUND(E9*F9/28,0)</f>
        <v>2457</v>
      </c>
      <c r="H9" s="148">
        <f t="shared" ref="H9:H10" si="19">ROUNDUP(G9*53/100,0)</f>
        <v>1303</v>
      </c>
      <c r="I9" s="148">
        <f t="shared" ref="I9:I10" si="20">ROUND(G9*20/100,0)</f>
        <v>491</v>
      </c>
      <c r="J9" s="148">
        <f t="shared" ref="J9:J10" si="21">+ROUND(SUM(G9+H9)*14/100,0)</f>
        <v>526</v>
      </c>
      <c r="K9" s="148">
        <f t="shared" ref="K9:K10" si="22">ROUND(SUM(G9:J9,),0)</f>
        <v>4777</v>
      </c>
      <c r="L9" s="148">
        <f>ROUND(K9*10/100,0)</f>
        <v>478</v>
      </c>
      <c r="M9" s="148">
        <f t="shared" ref="M9:M10" si="23">+ROUNDUP(SUM(G9+H9)*10/100,0)</f>
        <v>376</v>
      </c>
      <c r="N9" s="148">
        <f t="shared" ref="N9:N10" si="24">+J9</f>
        <v>526</v>
      </c>
      <c r="O9" s="148">
        <f t="shared" ref="O9:O10" si="25">ROUND(K9-L9-M9-N9,0)</f>
        <v>3397</v>
      </c>
    </row>
    <row r="10" spans="1:15" x14ac:dyDescent="0.25">
      <c r="A10" s="390"/>
      <c r="B10" s="148" t="s">
        <v>288</v>
      </c>
      <c r="C10" s="148">
        <v>135300</v>
      </c>
      <c r="D10" s="148">
        <v>139600</v>
      </c>
      <c r="E10" s="148">
        <f t="shared" si="18"/>
        <v>4300</v>
      </c>
      <c r="F10" s="149">
        <v>31</v>
      </c>
      <c r="G10" s="148">
        <f>ROUND(E10*F10/31,0)</f>
        <v>4300</v>
      </c>
      <c r="H10" s="148">
        <f t="shared" si="19"/>
        <v>2279</v>
      </c>
      <c r="I10" s="148">
        <f t="shared" si="20"/>
        <v>860</v>
      </c>
      <c r="J10" s="148">
        <f t="shared" si="21"/>
        <v>921</v>
      </c>
      <c r="K10" s="148">
        <f t="shared" si="22"/>
        <v>8360</v>
      </c>
      <c r="L10" s="148">
        <f>ROUND(K10*10/100,0)</f>
        <v>836</v>
      </c>
      <c r="M10" s="148">
        <f t="shared" si="23"/>
        <v>658</v>
      </c>
      <c r="N10" s="148">
        <f t="shared" si="24"/>
        <v>921</v>
      </c>
      <c r="O10" s="148">
        <f t="shared" si="25"/>
        <v>5945</v>
      </c>
    </row>
    <row r="11" spans="1:15" x14ac:dyDescent="0.25">
      <c r="A11" s="148"/>
      <c r="B11" s="148"/>
      <c r="C11" s="148"/>
      <c r="D11" s="148"/>
      <c r="E11" s="148"/>
      <c r="F11" s="149"/>
      <c r="G11" s="148"/>
      <c r="H11" s="148"/>
      <c r="I11" s="148"/>
      <c r="J11" s="148"/>
      <c r="K11" s="148"/>
      <c r="L11" s="148"/>
      <c r="M11" s="148"/>
      <c r="N11" s="148"/>
      <c r="O11" s="148"/>
    </row>
    <row r="12" spans="1:15" ht="37.5" customHeight="1" x14ac:dyDescent="0.25">
      <c r="A12" s="390" t="s">
        <v>294</v>
      </c>
      <c r="B12" s="148" t="s">
        <v>291</v>
      </c>
      <c r="C12" s="148">
        <v>131400</v>
      </c>
      <c r="D12" s="148">
        <v>139600</v>
      </c>
      <c r="E12" s="148">
        <f t="shared" ref="E12:E13" si="26">+D12-C12</f>
        <v>8200</v>
      </c>
      <c r="F12" s="149">
        <v>16</v>
      </c>
      <c r="G12" s="148">
        <f>ROUND(E12*F12/28,0)</f>
        <v>4686</v>
      </c>
      <c r="H12" s="148">
        <f t="shared" ref="H12:H13" si="27">ROUNDUP(G12*53/100,0)</f>
        <v>2484</v>
      </c>
      <c r="I12" s="148">
        <f t="shared" ref="I12:I13" si="28">ROUND(G12*20/100,0)</f>
        <v>937</v>
      </c>
      <c r="J12" s="148">
        <f t="shared" ref="J12:J13" si="29">+ROUND(SUM(G12+H12)*14/100,0)</f>
        <v>1004</v>
      </c>
      <c r="K12" s="148">
        <f t="shared" ref="K12:K13" si="30">ROUND(SUM(G12:J12,),0)</f>
        <v>9111</v>
      </c>
      <c r="L12" s="148">
        <f>ROUND(K12*10/100,0)</f>
        <v>911</v>
      </c>
      <c r="M12" s="148">
        <f t="shared" ref="M12:M13" si="31">+ROUNDUP(SUM(G12+H12)*10/100,0)</f>
        <v>717</v>
      </c>
      <c r="N12" s="148">
        <f t="shared" ref="N12:N13" si="32">+J12</f>
        <v>1004</v>
      </c>
      <c r="O12" s="148">
        <f t="shared" ref="O12:O13" si="33">ROUND(K12-L12-M12-N12,0)</f>
        <v>6479</v>
      </c>
    </row>
    <row r="13" spans="1:15" x14ac:dyDescent="0.25">
      <c r="A13" s="390"/>
      <c r="B13" s="148" t="s">
        <v>288</v>
      </c>
      <c r="C13" s="148">
        <v>131400</v>
      </c>
      <c r="D13" s="148">
        <v>139600</v>
      </c>
      <c r="E13" s="148">
        <f t="shared" si="26"/>
        <v>8200</v>
      </c>
      <c r="F13" s="149">
        <v>31</v>
      </c>
      <c r="G13" s="148">
        <f>ROUND(E13*F13/31,0)</f>
        <v>8200</v>
      </c>
      <c r="H13" s="148">
        <f t="shared" si="27"/>
        <v>4346</v>
      </c>
      <c r="I13" s="148">
        <f t="shared" si="28"/>
        <v>1640</v>
      </c>
      <c r="J13" s="148">
        <f t="shared" si="29"/>
        <v>1756</v>
      </c>
      <c r="K13" s="148">
        <f t="shared" si="30"/>
        <v>15942</v>
      </c>
      <c r="L13" s="148">
        <f>ROUND(K13*10/100,0)</f>
        <v>1594</v>
      </c>
      <c r="M13" s="148">
        <f t="shared" si="31"/>
        <v>1255</v>
      </c>
      <c r="N13" s="148">
        <f t="shared" si="32"/>
        <v>1756</v>
      </c>
      <c r="O13" s="148">
        <f t="shared" si="33"/>
        <v>11337</v>
      </c>
    </row>
    <row r="14" spans="1:15" x14ac:dyDescent="0.25">
      <c r="A14" s="148"/>
      <c r="B14" s="148"/>
      <c r="C14" s="148"/>
      <c r="D14" s="148"/>
      <c r="E14" s="148"/>
      <c r="F14" s="149"/>
      <c r="G14" s="148"/>
      <c r="H14" s="148"/>
      <c r="I14" s="148"/>
      <c r="J14" s="148"/>
      <c r="K14" s="148"/>
      <c r="L14" s="148"/>
      <c r="M14" s="148"/>
      <c r="N14" s="148"/>
      <c r="O14" s="148"/>
    </row>
    <row r="15" spans="1:15" ht="37.5" customHeight="1" x14ac:dyDescent="0.25">
      <c r="A15" s="390" t="s">
        <v>296</v>
      </c>
      <c r="B15" s="148" t="s">
        <v>291</v>
      </c>
      <c r="C15" s="148">
        <v>131400</v>
      </c>
      <c r="D15" s="148">
        <v>139600</v>
      </c>
      <c r="E15" s="148">
        <f t="shared" ref="E15:E16" si="34">+D15-C15</f>
        <v>8200</v>
      </c>
      <c r="F15" s="149">
        <v>16</v>
      </c>
      <c r="G15" s="148">
        <f>ROUND(E15*F15/28,0)</f>
        <v>4686</v>
      </c>
      <c r="H15" s="148">
        <f t="shared" ref="H15:H16" si="35">ROUNDUP(G15*53/100,0)</f>
        <v>2484</v>
      </c>
      <c r="I15" s="148">
        <f t="shared" ref="I15:I16" si="36">ROUND(G15*20/100,0)</f>
        <v>937</v>
      </c>
      <c r="J15" s="148">
        <f t="shared" ref="J15:J16" si="37">+ROUND(SUM(G15+H15)*14/100,0)</f>
        <v>1004</v>
      </c>
      <c r="K15" s="148">
        <f t="shared" ref="K15:K16" si="38">ROUND(SUM(G15:J15,),0)</f>
        <v>9111</v>
      </c>
      <c r="L15" s="148">
        <f>ROUND(K15*10/100,0)</f>
        <v>911</v>
      </c>
      <c r="M15" s="148">
        <f t="shared" ref="M15:M16" si="39">+ROUNDUP(SUM(G15+H15)*10/100,0)</f>
        <v>717</v>
      </c>
      <c r="N15" s="148">
        <f t="shared" ref="N15:N16" si="40">+J15</f>
        <v>1004</v>
      </c>
      <c r="O15" s="148">
        <f t="shared" ref="O15:O16" si="41">ROUND(K15-L15-M15-N15,0)</f>
        <v>6479</v>
      </c>
    </row>
    <row r="16" spans="1:15" x14ac:dyDescent="0.25">
      <c r="A16" s="390"/>
      <c r="B16" s="148" t="s">
        <v>288</v>
      </c>
      <c r="C16" s="148">
        <v>131400</v>
      </c>
      <c r="D16" s="148">
        <v>139600</v>
      </c>
      <c r="E16" s="148">
        <f t="shared" si="34"/>
        <v>8200</v>
      </c>
      <c r="F16" s="149">
        <v>31</v>
      </c>
      <c r="G16" s="148">
        <f>ROUND(E16*F16/31,0)</f>
        <v>8200</v>
      </c>
      <c r="H16" s="148">
        <f t="shared" si="35"/>
        <v>4346</v>
      </c>
      <c r="I16" s="148">
        <f t="shared" si="36"/>
        <v>1640</v>
      </c>
      <c r="J16" s="148">
        <f t="shared" si="37"/>
        <v>1756</v>
      </c>
      <c r="K16" s="148">
        <f t="shared" si="38"/>
        <v>15942</v>
      </c>
      <c r="L16" s="148">
        <f>ROUND(K16*10/100,0)</f>
        <v>1594</v>
      </c>
      <c r="M16" s="148">
        <f t="shared" si="39"/>
        <v>1255</v>
      </c>
      <c r="N16" s="148">
        <f t="shared" si="40"/>
        <v>1756</v>
      </c>
      <c r="O16" s="148">
        <f t="shared" si="41"/>
        <v>11337</v>
      </c>
    </row>
    <row r="17" spans="1:15" x14ac:dyDescent="0.25">
      <c r="A17" s="389" t="s">
        <v>36</v>
      </c>
      <c r="B17" s="389"/>
      <c r="C17" s="389"/>
      <c r="D17" s="389"/>
      <c r="E17" s="389"/>
      <c r="F17" s="389"/>
      <c r="G17" s="154">
        <f>+SUM(G3:G16)</f>
        <v>33157</v>
      </c>
      <c r="H17" s="154">
        <f t="shared" ref="H17:O17" si="42">+SUM(H3:H16)</f>
        <v>17576</v>
      </c>
      <c r="I17" s="154">
        <f t="shared" si="42"/>
        <v>6631</v>
      </c>
      <c r="J17" s="154">
        <f t="shared" si="42"/>
        <v>7103</v>
      </c>
      <c r="K17" s="154">
        <f t="shared" si="42"/>
        <v>64467</v>
      </c>
      <c r="L17" s="154">
        <f t="shared" si="42"/>
        <v>6446</v>
      </c>
      <c r="M17" s="154">
        <f t="shared" si="42"/>
        <v>5076</v>
      </c>
      <c r="N17" s="154">
        <f t="shared" si="42"/>
        <v>7103</v>
      </c>
      <c r="O17" s="154">
        <f t="shared" si="42"/>
        <v>45842</v>
      </c>
    </row>
  </sheetData>
  <mergeCells count="7">
    <mergeCell ref="A17:F17"/>
    <mergeCell ref="A15:A16"/>
    <mergeCell ref="A1:O1"/>
    <mergeCell ref="A3:A4"/>
    <mergeCell ref="A6:A7"/>
    <mergeCell ref="A9:A10"/>
    <mergeCell ref="A12:A13"/>
  </mergeCells>
  <conditionalFormatting sqref="A1">
    <cfRule type="duplicateValues" dxfId="53" priority="1"/>
  </conditionalFormatting>
  <conditionalFormatting sqref="A2 G2:O2 C2:E2">
    <cfRule type="duplicateValues" dxfId="52" priority="2"/>
  </conditionalFormatting>
  <pageMargins left="0.7" right="0.7" top="0.75" bottom="0.75" header="0.3" footer="0.3"/>
  <pageSetup paperSize="9" scale="61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V52"/>
  <sheetViews>
    <sheetView topLeftCell="A13" zoomScale="70" zoomScaleNormal="70" workbookViewId="0">
      <pane xSplit="2" topLeftCell="C1" activePane="topRight" state="frozen"/>
      <selection activeCell="A24" sqref="A23:XFD24"/>
      <selection pane="topRight" activeCell="A34" sqref="A34:XFD34"/>
    </sheetView>
  </sheetViews>
  <sheetFormatPr defaultColWidth="28.42578125" defaultRowHeight="14.25" x14ac:dyDescent="0.25"/>
  <cols>
    <col min="1" max="1" width="14.28515625" style="170" customWidth="1"/>
    <col min="2" max="2" width="16.140625" style="170" customWidth="1"/>
    <col min="3" max="3" width="33" style="170" customWidth="1"/>
    <col min="4" max="4" width="27.140625" style="171" customWidth="1"/>
    <col min="5" max="5" width="12.7109375" style="170" customWidth="1"/>
    <col min="6" max="6" width="15" style="278" bestFit="1" customWidth="1"/>
    <col min="7" max="7" width="20.5703125" style="170" bestFit="1" customWidth="1"/>
    <col min="8" max="8" width="22" style="170" customWidth="1"/>
    <col min="9" max="9" width="13.42578125" style="170" bestFit="1" customWidth="1"/>
    <col min="10" max="10" width="19" style="170" customWidth="1"/>
    <col min="11" max="11" width="16.7109375" style="170" customWidth="1"/>
    <col min="12" max="12" width="23.42578125" style="170" customWidth="1"/>
    <col min="13" max="13" width="16.140625" style="170" customWidth="1"/>
    <col min="14" max="14" width="15.42578125" style="170" customWidth="1"/>
    <col min="15" max="15" width="15" style="172" customWidth="1"/>
    <col min="16" max="16" width="17.28515625" style="170" customWidth="1"/>
    <col min="17" max="17" width="16.5703125" style="170" customWidth="1"/>
    <col min="18" max="18" width="14.7109375" style="172" customWidth="1"/>
    <col min="19" max="19" width="17.28515625" style="170" customWidth="1"/>
    <col min="20" max="20" width="15" style="170" bestFit="1" customWidth="1"/>
    <col min="21" max="16384" width="28.42578125" style="170"/>
  </cols>
  <sheetData>
    <row r="1" spans="1:20" ht="20.100000000000001" customHeight="1" thickBot="1" x14ac:dyDescent="0.3">
      <c r="A1" s="175"/>
      <c r="B1" s="175"/>
      <c r="C1" s="175"/>
      <c r="D1" s="176"/>
      <c r="E1" s="175"/>
      <c r="F1" s="299"/>
      <c r="G1" s="299"/>
      <c r="H1" s="299"/>
      <c r="I1" s="176"/>
      <c r="J1" s="299" t="s">
        <v>402</v>
      </c>
      <c r="K1" s="299"/>
      <c r="L1" s="299"/>
      <c r="M1" s="396"/>
      <c r="N1" s="396"/>
      <c r="O1" s="298"/>
      <c r="P1" s="175"/>
      <c r="Q1" s="175"/>
      <c r="R1" s="298"/>
      <c r="S1" s="175"/>
      <c r="T1" s="175"/>
    </row>
    <row r="2" spans="1:20" ht="20.100000000000001" customHeight="1" thickBot="1" x14ac:dyDescent="0.3">
      <c r="A2" s="397" t="s">
        <v>410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9"/>
    </row>
    <row r="3" spans="1:20" s="173" customFormat="1" ht="45.75" thickBot="1" x14ac:dyDescent="0.3">
      <c r="A3" s="301" t="s">
        <v>308</v>
      </c>
      <c r="B3" s="302" t="s">
        <v>197</v>
      </c>
      <c r="C3" s="302" t="s">
        <v>1</v>
      </c>
      <c r="D3" s="302" t="s">
        <v>2</v>
      </c>
      <c r="E3" s="303" t="s">
        <v>172</v>
      </c>
      <c r="F3" s="304" t="s">
        <v>6</v>
      </c>
      <c r="G3" s="305" t="s">
        <v>381</v>
      </c>
      <c r="H3" s="302" t="s">
        <v>380</v>
      </c>
      <c r="I3" s="302" t="s">
        <v>255</v>
      </c>
      <c r="J3" s="302" t="s">
        <v>133</v>
      </c>
      <c r="K3" s="302" t="s">
        <v>192</v>
      </c>
      <c r="L3" s="302" t="s">
        <v>10</v>
      </c>
      <c r="M3" s="302" t="s">
        <v>13</v>
      </c>
      <c r="N3" s="303" t="s">
        <v>14</v>
      </c>
      <c r="O3" s="306" t="s">
        <v>191</v>
      </c>
      <c r="P3" s="302" t="s">
        <v>192</v>
      </c>
      <c r="Q3" s="302" t="s">
        <v>169</v>
      </c>
      <c r="R3" s="306" t="s">
        <v>117</v>
      </c>
      <c r="S3" s="302" t="s">
        <v>17</v>
      </c>
      <c r="T3" s="307" t="s">
        <v>94</v>
      </c>
    </row>
    <row r="4" spans="1:20" ht="39" customHeight="1" x14ac:dyDescent="0.25">
      <c r="A4" s="335">
        <v>1</v>
      </c>
      <c r="B4" s="336" t="s">
        <v>241</v>
      </c>
      <c r="C4" s="337" t="s">
        <v>109</v>
      </c>
      <c r="D4" s="337" t="s">
        <v>185</v>
      </c>
      <c r="E4" s="332" t="s">
        <v>306</v>
      </c>
      <c r="F4" s="338">
        <v>213800</v>
      </c>
      <c r="G4" s="339">
        <f>ROUND(F4*60%,0)</f>
        <v>128280</v>
      </c>
      <c r="H4" s="339">
        <f>3600*160%</f>
        <v>5760</v>
      </c>
      <c r="I4" s="339">
        <f t="shared" ref="I4:I37" si="0">ROUND(F4*20/100,0)</f>
        <v>42760</v>
      </c>
      <c r="J4" s="332">
        <v>3000</v>
      </c>
      <c r="K4" s="332">
        <f t="shared" ref="K4:K37" si="1">+ROUND(SUM(F4+G4)*14/100,0)</f>
        <v>47891</v>
      </c>
      <c r="L4" s="339">
        <f t="shared" ref="L4:L37" si="2">+SUM(F4:K4)</f>
        <v>441491</v>
      </c>
      <c r="M4" s="339">
        <v>200</v>
      </c>
      <c r="N4" s="339">
        <v>90000</v>
      </c>
      <c r="O4" s="339">
        <f t="shared" ref="O4:O37" si="3">+ROUND(SUM(F4+G4)*0.1,0)</f>
        <v>34208</v>
      </c>
      <c r="P4" s="339">
        <f t="shared" ref="P4:P37" si="4">+K4</f>
        <v>47891</v>
      </c>
      <c r="Q4" s="339">
        <v>1000</v>
      </c>
      <c r="R4" s="339">
        <v>482</v>
      </c>
      <c r="S4" s="339">
        <f t="shared" ref="S4:S37" si="5">SUM(M4:R4)</f>
        <v>173781</v>
      </c>
      <c r="T4" s="340">
        <f t="shared" ref="T4:T37" si="6">+L4-S4</f>
        <v>267710</v>
      </c>
    </row>
    <row r="5" spans="1:20" s="372" customFormat="1" ht="39" customHeight="1" x14ac:dyDescent="0.25">
      <c r="A5" s="364">
        <v>2</v>
      </c>
      <c r="B5" s="378" t="s">
        <v>240</v>
      </c>
      <c r="C5" s="366" t="s">
        <v>103</v>
      </c>
      <c r="D5" s="366" t="s">
        <v>185</v>
      </c>
      <c r="E5" s="370" t="s">
        <v>306</v>
      </c>
      <c r="F5" s="367">
        <v>184500</v>
      </c>
      <c r="G5" s="368">
        <f t="shared" ref="G5:G37" si="7">ROUND(F5*60%,0)</f>
        <v>110700</v>
      </c>
      <c r="H5" s="368">
        <f t="shared" ref="H5:H37" si="8">3600*160%</f>
        <v>5760</v>
      </c>
      <c r="I5" s="369">
        <f t="shared" si="0"/>
        <v>36900</v>
      </c>
      <c r="J5" s="370">
        <v>3000</v>
      </c>
      <c r="K5" s="370">
        <f t="shared" si="1"/>
        <v>41328</v>
      </c>
      <c r="L5" s="369">
        <f t="shared" si="2"/>
        <v>382188</v>
      </c>
      <c r="M5" s="369">
        <v>200</v>
      </c>
      <c r="N5" s="369">
        <v>70000</v>
      </c>
      <c r="O5" s="369">
        <f t="shared" si="3"/>
        <v>29520</v>
      </c>
      <c r="P5" s="369">
        <f t="shared" si="4"/>
        <v>41328</v>
      </c>
      <c r="Q5" s="369">
        <v>1000</v>
      </c>
      <c r="R5" s="368">
        <v>0</v>
      </c>
      <c r="S5" s="369">
        <f t="shared" si="5"/>
        <v>142048</v>
      </c>
      <c r="T5" s="371">
        <f t="shared" si="6"/>
        <v>240140</v>
      </c>
    </row>
    <row r="6" spans="1:20" s="372" customFormat="1" ht="24.95" customHeight="1" x14ac:dyDescent="0.25">
      <c r="A6" s="364">
        <v>3</v>
      </c>
      <c r="B6" s="373" t="s">
        <v>216</v>
      </c>
      <c r="C6" s="366" t="s">
        <v>57</v>
      </c>
      <c r="D6" s="374" t="s">
        <v>184</v>
      </c>
      <c r="E6" s="375" t="s">
        <v>304</v>
      </c>
      <c r="F6" s="376">
        <v>152500</v>
      </c>
      <c r="G6" s="368">
        <f t="shared" si="7"/>
        <v>91500</v>
      </c>
      <c r="H6" s="368">
        <f t="shared" si="8"/>
        <v>5760</v>
      </c>
      <c r="I6" s="368">
        <f t="shared" si="0"/>
        <v>30500</v>
      </c>
      <c r="J6" s="368">
        <v>0</v>
      </c>
      <c r="K6" s="375">
        <f t="shared" si="1"/>
        <v>34160</v>
      </c>
      <c r="L6" s="368">
        <f t="shared" si="2"/>
        <v>314420</v>
      </c>
      <c r="M6" s="368">
        <v>200</v>
      </c>
      <c r="N6" s="368">
        <v>50000</v>
      </c>
      <c r="O6" s="368">
        <f t="shared" si="3"/>
        <v>24400</v>
      </c>
      <c r="P6" s="368">
        <f t="shared" si="4"/>
        <v>34160</v>
      </c>
      <c r="Q6" s="368">
        <v>1000</v>
      </c>
      <c r="R6" s="368">
        <v>0</v>
      </c>
      <c r="S6" s="368">
        <f t="shared" si="5"/>
        <v>109760</v>
      </c>
      <c r="T6" s="377">
        <f t="shared" si="6"/>
        <v>204660</v>
      </c>
    </row>
    <row r="7" spans="1:20" s="372" customFormat="1" ht="24.95" customHeight="1" x14ac:dyDescent="0.25">
      <c r="A7" s="364">
        <v>4</v>
      </c>
      <c r="B7" s="378" t="s">
        <v>217</v>
      </c>
      <c r="C7" s="366" t="s">
        <v>54</v>
      </c>
      <c r="D7" s="366" t="s">
        <v>184</v>
      </c>
      <c r="E7" s="370" t="s">
        <v>304</v>
      </c>
      <c r="F7" s="367">
        <v>152500</v>
      </c>
      <c r="G7" s="368">
        <f t="shared" si="7"/>
        <v>91500</v>
      </c>
      <c r="H7" s="368">
        <f t="shared" si="8"/>
        <v>5760</v>
      </c>
      <c r="I7" s="369">
        <f t="shared" si="0"/>
        <v>30500</v>
      </c>
      <c r="J7" s="368">
        <v>0</v>
      </c>
      <c r="K7" s="370">
        <f t="shared" si="1"/>
        <v>34160</v>
      </c>
      <c r="L7" s="369">
        <f t="shared" si="2"/>
        <v>314420</v>
      </c>
      <c r="M7" s="369">
        <v>200</v>
      </c>
      <c r="N7" s="368">
        <v>50000</v>
      </c>
      <c r="O7" s="369">
        <f t="shared" si="3"/>
        <v>24400</v>
      </c>
      <c r="P7" s="369">
        <f t="shared" si="4"/>
        <v>34160</v>
      </c>
      <c r="Q7" s="369">
        <v>1000</v>
      </c>
      <c r="R7" s="368">
        <v>0</v>
      </c>
      <c r="S7" s="369">
        <f t="shared" si="5"/>
        <v>109760</v>
      </c>
      <c r="T7" s="371">
        <f t="shared" si="6"/>
        <v>204660</v>
      </c>
    </row>
    <row r="8" spans="1:20" s="372" customFormat="1" ht="24.95" customHeight="1" x14ac:dyDescent="0.25">
      <c r="A8" s="364">
        <v>5</v>
      </c>
      <c r="B8" s="366" t="s">
        <v>218</v>
      </c>
      <c r="C8" s="366" t="s">
        <v>59</v>
      </c>
      <c r="D8" s="366" t="s">
        <v>184</v>
      </c>
      <c r="E8" s="370" t="s">
        <v>304</v>
      </c>
      <c r="F8" s="367">
        <v>152500</v>
      </c>
      <c r="G8" s="368">
        <f t="shared" si="7"/>
        <v>91500</v>
      </c>
      <c r="H8" s="368">
        <f t="shared" si="8"/>
        <v>5760</v>
      </c>
      <c r="I8" s="369">
        <f t="shared" si="0"/>
        <v>30500</v>
      </c>
      <c r="J8" s="368">
        <v>0</v>
      </c>
      <c r="K8" s="370">
        <f t="shared" si="1"/>
        <v>34160</v>
      </c>
      <c r="L8" s="369">
        <f t="shared" si="2"/>
        <v>314420</v>
      </c>
      <c r="M8" s="369">
        <v>200</v>
      </c>
      <c r="N8" s="369">
        <v>60000</v>
      </c>
      <c r="O8" s="369">
        <f t="shared" si="3"/>
        <v>24400</v>
      </c>
      <c r="P8" s="369">
        <f t="shared" si="4"/>
        <v>34160</v>
      </c>
      <c r="Q8" s="369">
        <v>1000</v>
      </c>
      <c r="R8" s="368">
        <v>0</v>
      </c>
      <c r="S8" s="369">
        <f t="shared" si="5"/>
        <v>119760</v>
      </c>
      <c r="T8" s="371">
        <f t="shared" si="6"/>
        <v>194660</v>
      </c>
    </row>
    <row r="9" spans="1:20" s="372" customFormat="1" ht="24.95" customHeight="1" x14ac:dyDescent="0.25">
      <c r="A9" s="364">
        <v>6</v>
      </c>
      <c r="B9" s="366" t="s">
        <v>219</v>
      </c>
      <c r="C9" s="366" t="s">
        <v>62</v>
      </c>
      <c r="D9" s="366" t="s">
        <v>184</v>
      </c>
      <c r="E9" s="370" t="s">
        <v>304</v>
      </c>
      <c r="F9" s="367">
        <v>152500</v>
      </c>
      <c r="G9" s="368">
        <f t="shared" si="7"/>
        <v>91500</v>
      </c>
      <c r="H9" s="368">
        <f t="shared" si="8"/>
        <v>5760</v>
      </c>
      <c r="I9" s="369">
        <f t="shared" si="0"/>
        <v>30500</v>
      </c>
      <c r="J9" s="368">
        <v>0</v>
      </c>
      <c r="K9" s="370">
        <f t="shared" si="1"/>
        <v>34160</v>
      </c>
      <c r="L9" s="369">
        <f t="shared" si="2"/>
        <v>314420</v>
      </c>
      <c r="M9" s="369">
        <v>200</v>
      </c>
      <c r="N9" s="369">
        <v>30000</v>
      </c>
      <c r="O9" s="369">
        <f t="shared" si="3"/>
        <v>24400</v>
      </c>
      <c r="P9" s="369">
        <f t="shared" si="4"/>
        <v>34160</v>
      </c>
      <c r="Q9" s="369">
        <v>1000</v>
      </c>
      <c r="R9" s="368">
        <v>0</v>
      </c>
      <c r="S9" s="369">
        <f t="shared" si="5"/>
        <v>89760</v>
      </c>
      <c r="T9" s="371">
        <f t="shared" si="6"/>
        <v>224660</v>
      </c>
    </row>
    <row r="10" spans="1:20" s="372" customFormat="1" ht="24.95" customHeight="1" x14ac:dyDescent="0.25">
      <c r="A10" s="364">
        <v>7</v>
      </c>
      <c r="B10" s="366" t="s">
        <v>220</v>
      </c>
      <c r="C10" s="366" t="s">
        <v>63</v>
      </c>
      <c r="D10" s="366" t="s">
        <v>184</v>
      </c>
      <c r="E10" s="370" t="s">
        <v>304</v>
      </c>
      <c r="F10" s="367">
        <v>148100</v>
      </c>
      <c r="G10" s="368">
        <f t="shared" si="7"/>
        <v>88860</v>
      </c>
      <c r="H10" s="368">
        <f t="shared" si="8"/>
        <v>5760</v>
      </c>
      <c r="I10" s="369">
        <f t="shared" si="0"/>
        <v>29620</v>
      </c>
      <c r="J10" s="368">
        <v>0</v>
      </c>
      <c r="K10" s="370">
        <f t="shared" si="1"/>
        <v>33174</v>
      </c>
      <c r="L10" s="369">
        <f t="shared" si="2"/>
        <v>305514</v>
      </c>
      <c r="M10" s="369">
        <v>200</v>
      </c>
      <c r="N10" s="369">
        <v>60000</v>
      </c>
      <c r="O10" s="369">
        <f t="shared" si="3"/>
        <v>23696</v>
      </c>
      <c r="P10" s="369">
        <f t="shared" si="4"/>
        <v>33174</v>
      </c>
      <c r="Q10" s="369">
        <v>1000</v>
      </c>
      <c r="R10" s="368">
        <v>0</v>
      </c>
      <c r="S10" s="369">
        <f t="shared" si="5"/>
        <v>118070</v>
      </c>
      <c r="T10" s="371">
        <f t="shared" si="6"/>
        <v>187444</v>
      </c>
    </row>
    <row r="11" spans="1:20" s="372" customFormat="1" ht="24.95" customHeight="1" x14ac:dyDescent="0.25">
      <c r="A11" s="364">
        <v>8</v>
      </c>
      <c r="B11" s="366" t="s">
        <v>221</v>
      </c>
      <c r="C11" s="366" t="s">
        <v>60</v>
      </c>
      <c r="D11" s="366" t="s">
        <v>184</v>
      </c>
      <c r="E11" s="370" t="s">
        <v>304</v>
      </c>
      <c r="F11" s="367">
        <v>152500</v>
      </c>
      <c r="G11" s="368">
        <f t="shared" si="7"/>
        <v>91500</v>
      </c>
      <c r="H11" s="368">
        <f t="shared" si="8"/>
        <v>5760</v>
      </c>
      <c r="I11" s="369">
        <f t="shared" si="0"/>
        <v>30500</v>
      </c>
      <c r="J11" s="370">
        <v>3000</v>
      </c>
      <c r="K11" s="370">
        <f t="shared" si="1"/>
        <v>34160</v>
      </c>
      <c r="L11" s="369">
        <f t="shared" si="2"/>
        <v>317420</v>
      </c>
      <c r="M11" s="369">
        <v>200</v>
      </c>
      <c r="N11" s="369">
        <v>60000</v>
      </c>
      <c r="O11" s="369">
        <f t="shared" si="3"/>
        <v>24400</v>
      </c>
      <c r="P11" s="369">
        <f t="shared" si="4"/>
        <v>34160</v>
      </c>
      <c r="Q11" s="369">
        <v>1000</v>
      </c>
      <c r="R11" s="368">
        <v>0</v>
      </c>
      <c r="S11" s="369">
        <f t="shared" si="5"/>
        <v>119760</v>
      </c>
      <c r="T11" s="371">
        <f t="shared" si="6"/>
        <v>197660</v>
      </c>
    </row>
    <row r="12" spans="1:20" s="372" customFormat="1" ht="24.95" customHeight="1" x14ac:dyDescent="0.25">
      <c r="A12" s="364">
        <v>9</v>
      </c>
      <c r="B12" s="366" t="s">
        <v>222</v>
      </c>
      <c r="C12" s="366" t="s">
        <v>64</v>
      </c>
      <c r="D12" s="366" t="s">
        <v>184</v>
      </c>
      <c r="E12" s="370" t="s">
        <v>304</v>
      </c>
      <c r="F12" s="367">
        <v>152500</v>
      </c>
      <c r="G12" s="368">
        <f t="shared" si="7"/>
        <v>91500</v>
      </c>
      <c r="H12" s="368">
        <f t="shared" si="8"/>
        <v>5760</v>
      </c>
      <c r="I12" s="369">
        <f t="shared" si="0"/>
        <v>30500</v>
      </c>
      <c r="J12" s="368">
        <v>0</v>
      </c>
      <c r="K12" s="370">
        <f t="shared" si="1"/>
        <v>34160</v>
      </c>
      <c r="L12" s="369">
        <f t="shared" si="2"/>
        <v>314420</v>
      </c>
      <c r="M12" s="369">
        <v>200</v>
      </c>
      <c r="N12" s="369">
        <v>80000</v>
      </c>
      <c r="O12" s="369">
        <f t="shared" si="3"/>
        <v>24400</v>
      </c>
      <c r="P12" s="369">
        <f t="shared" si="4"/>
        <v>34160</v>
      </c>
      <c r="Q12" s="369">
        <v>1000</v>
      </c>
      <c r="R12" s="368">
        <v>0</v>
      </c>
      <c r="S12" s="369">
        <f t="shared" si="5"/>
        <v>139760</v>
      </c>
      <c r="T12" s="371">
        <f t="shared" si="6"/>
        <v>174660</v>
      </c>
    </row>
    <row r="13" spans="1:20" s="372" customFormat="1" ht="24.95" customHeight="1" x14ac:dyDescent="0.25">
      <c r="A13" s="364">
        <v>10</v>
      </c>
      <c r="B13" s="366" t="s">
        <v>223</v>
      </c>
      <c r="C13" s="366" t="s">
        <v>58</v>
      </c>
      <c r="D13" s="366" t="s">
        <v>184</v>
      </c>
      <c r="E13" s="370" t="s">
        <v>304</v>
      </c>
      <c r="F13" s="367">
        <v>152500</v>
      </c>
      <c r="G13" s="368">
        <f t="shared" si="7"/>
        <v>91500</v>
      </c>
      <c r="H13" s="368">
        <f t="shared" si="8"/>
        <v>5760</v>
      </c>
      <c r="I13" s="369">
        <f t="shared" si="0"/>
        <v>30500</v>
      </c>
      <c r="J13" s="368">
        <v>0</v>
      </c>
      <c r="K13" s="370">
        <f t="shared" si="1"/>
        <v>34160</v>
      </c>
      <c r="L13" s="369">
        <f t="shared" si="2"/>
        <v>314420</v>
      </c>
      <c r="M13" s="369">
        <v>200</v>
      </c>
      <c r="N13" s="369">
        <v>60000</v>
      </c>
      <c r="O13" s="369">
        <f t="shared" si="3"/>
        <v>24400</v>
      </c>
      <c r="P13" s="369">
        <f t="shared" si="4"/>
        <v>34160</v>
      </c>
      <c r="Q13" s="369">
        <v>1000</v>
      </c>
      <c r="R13" s="368">
        <v>0</v>
      </c>
      <c r="S13" s="369">
        <f t="shared" si="5"/>
        <v>119760</v>
      </c>
      <c r="T13" s="371">
        <f t="shared" si="6"/>
        <v>194660</v>
      </c>
    </row>
    <row r="14" spans="1:20" s="372" customFormat="1" ht="24.95" customHeight="1" x14ac:dyDescent="0.25">
      <c r="A14" s="364">
        <v>11</v>
      </c>
      <c r="B14" s="366" t="s">
        <v>225</v>
      </c>
      <c r="C14" s="366" t="s">
        <v>66</v>
      </c>
      <c r="D14" s="366" t="s">
        <v>184</v>
      </c>
      <c r="E14" s="370" t="s">
        <v>304</v>
      </c>
      <c r="F14" s="367">
        <v>152500</v>
      </c>
      <c r="G14" s="368">
        <f t="shared" si="7"/>
        <v>91500</v>
      </c>
      <c r="H14" s="368">
        <f t="shared" si="8"/>
        <v>5760</v>
      </c>
      <c r="I14" s="369">
        <f t="shared" si="0"/>
        <v>30500</v>
      </c>
      <c r="J14" s="370">
        <v>3000</v>
      </c>
      <c r="K14" s="370">
        <f t="shared" si="1"/>
        <v>34160</v>
      </c>
      <c r="L14" s="369">
        <f t="shared" si="2"/>
        <v>317420</v>
      </c>
      <c r="M14" s="369">
        <v>200</v>
      </c>
      <c r="N14" s="369">
        <v>65000</v>
      </c>
      <c r="O14" s="369">
        <f t="shared" si="3"/>
        <v>24400</v>
      </c>
      <c r="P14" s="369">
        <f t="shared" si="4"/>
        <v>34160</v>
      </c>
      <c r="Q14" s="369">
        <v>1000</v>
      </c>
      <c r="R14" s="368">
        <v>0</v>
      </c>
      <c r="S14" s="369">
        <f t="shared" si="5"/>
        <v>124760</v>
      </c>
      <c r="T14" s="371">
        <f t="shared" si="6"/>
        <v>192660</v>
      </c>
    </row>
    <row r="15" spans="1:20" s="372" customFormat="1" ht="24.95" customHeight="1" x14ac:dyDescent="0.25">
      <c r="A15" s="364">
        <v>12</v>
      </c>
      <c r="B15" s="366" t="s">
        <v>226</v>
      </c>
      <c r="C15" s="366" t="s">
        <v>52</v>
      </c>
      <c r="D15" s="366" t="s">
        <v>184</v>
      </c>
      <c r="E15" s="370" t="s">
        <v>304</v>
      </c>
      <c r="F15" s="367">
        <v>152500</v>
      </c>
      <c r="G15" s="368">
        <f t="shared" si="7"/>
        <v>91500</v>
      </c>
      <c r="H15" s="368">
        <f t="shared" si="8"/>
        <v>5760</v>
      </c>
      <c r="I15" s="369">
        <f t="shared" si="0"/>
        <v>30500</v>
      </c>
      <c r="J15" s="370">
        <v>3000</v>
      </c>
      <c r="K15" s="370">
        <f t="shared" si="1"/>
        <v>34160</v>
      </c>
      <c r="L15" s="369">
        <f t="shared" si="2"/>
        <v>317420</v>
      </c>
      <c r="M15" s="369">
        <v>200</v>
      </c>
      <c r="N15" s="369">
        <v>50000</v>
      </c>
      <c r="O15" s="369">
        <f t="shared" si="3"/>
        <v>24400</v>
      </c>
      <c r="P15" s="369">
        <f t="shared" si="4"/>
        <v>34160</v>
      </c>
      <c r="Q15" s="369">
        <v>1000</v>
      </c>
      <c r="R15" s="368">
        <v>0</v>
      </c>
      <c r="S15" s="369">
        <f t="shared" si="5"/>
        <v>109760</v>
      </c>
      <c r="T15" s="371">
        <f t="shared" si="6"/>
        <v>207660</v>
      </c>
    </row>
    <row r="16" spans="1:20" s="372" customFormat="1" ht="24.95" customHeight="1" x14ac:dyDescent="0.25">
      <c r="A16" s="364">
        <v>13</v>
      </c>
      <c r="B16" s="366" t="s">
        <v>227</v>
      </c>
      <c r="C16" s="366" t="s">
        <v>55</v>
      </c>
      <c r="D16" s="366" t="s">
        <v>184</v>
      </c>
      <c r="E16" s="370" t="s">
        <v>304</v>
      </c>
      <c r="F16" s="367">
        <v>152500</v>
      </c>
      <c r="G16" s="368">
        <f t="shared" si="7"/>
        <v>91500</v>
      </c>
      <c r="H16" s="368">
        <f t="shared" si="8"/>
        <v>5760</v>
      </c>
      <c r="I16" s="369">
        <f t="shared" si="0"/>
        <v>30500</v>
      </c>
      <c r="J16" s="370">
        <v>3000</v>
      </c>
      <c r="K16" s="370">
        <f t="shared" si="1"/>
        <v>34160</v>
      </c>
      <c r="L16" s="369">
        <f t="shared" si="2"/>
        <v>317420</v>
      </c>
      <c r="M16" s="369">
        <v>200</v>
      </c>
      <c r="N16" s="369">
        <v>52000</v>
      </c>
      <c r="O16" s="369">
        <f t="shared" si="3"/>
        <v>24400</v>
      </c>
      <c r="P16" s="369">
        <f t="shared" si="4"/>
        <v>34160</v>
      </c>
      <c r="Q16" s="369">
        <v>1000</v>
      </c>
      <c r="R16" s="368">
        <v>0</v>
      </c>
      <c r="S16" s="369">
        <f t="shared" si="5"/>
        <v>111760</v>
      </c>
      <c r="T16" s="371">
        <f t="shared" si="6"/>
        <v>205660</v>
      </c>
    </row>
    <row r="17" spans="1:20" s="372" customFormat="1" ht="24.95" customHeight="1" x14ac:dyDescent="0.25">
      <c r="A17" s="364">
        <v>14</v>
      </c>
      <c r="B17" s="366" t="s">
        <v>229</v>
      </c>
      <c r="C17" s="366" t="s">
        <v>61</v>
      </c>
      <c r="D17" s="366" t="s">
        <v>184</v>
      </c>
      <c r="E17" s="370" t="s">
        <v>304</v>
      </c>
      <c r="F17" s="367">
        <v>152500</v>
      </c>
      <c r="G17" s="368">
        <f t="shared" si="7"/>
        <v>91500</v>
      </c>
      <c r="H17" s="368">
        <f t="shared" si="8"/>
        <v>5760</v>
      </c>
      <c r="I17" s="369">
        <f t="shared" si="0"/>
        <v>30500</v>
      </c>
      <c r="J17" s="370">
        <v>3000</v>
      </c>
      <c r="K17" s="370">
        <f t="shared" si="1"/>
        <v>34160</v>
      </c>
      <c r="L17" s="369">
        <f t="shared" si="2"/>
        <v>317420</v>
      </c>
      <c r="M17" s="369">
        <v>200</v>
      </c>
      <c r="N17" s="369">
        <v>51000</v>
      </c>
      <c r="O17" s="369">
        <f t="shared" si="3"/>
        <v>24400</v>
      </c>
      <c r="P17" s="369">
        <f t="shared" si="4"/>
        <v>34160</v>
      </c>
      <c r="Q17" s="369">
        <v>1000</v>
      </c>
      <c r="R17" s="368">
        <v>0</v>
      </c>
      <c r="S17" s="369">
        <f t="shared" si="5"/>
        <v>110760</v>
      </c>
      <c r="T17" s="371">
        <f t="shared" si="6"/>
        <v>206660</v>
      </c>
    </row>
    <row r="18" spans="1:20" s="372" customFormat="1" ht="24.95" customHeight="1" x14ac:dyDescent="0.25">
      <c r="A18" s="364">
        <v>15</v>
      </c>
      <c r="B18" s="366" t="s">
        <v>232</v>
      </c>
      <c r="C18" s="366" t="s">
        <v>68</v>
      </c>
      <c r="D18" s="366" t="s">
        <v>184</v>
      </c>
      <c r="E18" s="370" t="s">
        <v>304</v>
      </c>
      <c r="F18" s="367">
        <v>143800</v>
      </c>
      <c r="G18" s="368">
        <f t="shared" si="7"/>
        <v>86280</v>
      </c>
      <c r="H18" s="368">
        <f t="shared" si="8"/>
        <v>5760</v>
      </c>
      <c r="I18" s="369">
        <f t="shared" si="0"/>
        <v>28760</v>
      </c>
      <c r="J18" s="368">
        <v>0</v>
      </c>
      <c r="K18" s="370">
        <f t="shared" si="1"/>
        <v>32211</v>
      </c>
      <c r="L18" s="369">
        <f t="shared" si="2"/>
        <v>296811</v>
      </c>
      <c r="M18" s="369">
        <v>200</v>
      </c>
      <c r="N18" s="369">
        <v>45000</v>
      </c>
      <c r="O18" s="369">
        <f t="shared" si="3"/>
        <v>23008</v>
      </c>
      <c r="P18" s="369">
        <f t="shared" si="4"/>
        <v>32211</v>
      </c>
      <c r="Q18" s="369">
        <v>1000</v>
      </c>
      <c r="R18" s="368">
        <v>0</v>
      </c>
      <c r="S18" s="369">
        <f t="shared" si="5"/>
        <v>101419</v>
      </c>
      <c r="T18" s="371">
        <f t="shared" si="6"/>
        <v>195392</v>
      </c>
    </row>
    <row r="19" spans="1:20" s="372" customFormat="1" ht="24.95" customHeight="1" x14ac:dyDescent="0.25">
      <c r="A19" s="364">
        <v>16</v>
      </c>
      <c r="B19" s="366" t="s">
        <v>231</v>
      </c>
      <c r="C19" s="366" t="s">
        <v>69</v>
      </c>
      <c r="D19" s="366" t="s">
        <v>184</v>
      </c>
      <c r="E19" s="370" t="s">
        <v>304</v>
      </c>
      <c r="F19" s="367">
        <v>143800</v>
      </c>
      <c r="G19" s="368">
        <f t="shared" si="7"/>
        <v>86280</v>
      </c>
      <c r="H19" s="368">
        <f t="shared" si="8"/>
        <v>5760</v>
      </c>
      <c r="I19" s="369">
        <f t="shared" si="0"/>
        <v>28760</v>
      </c>
      <c r="J19" s="370">
        <v>3000</v>
      </c>
      <c r="K19" s="370">
        <f t="shared" si="1"/>
        <v>32211</v>
      </c>
      <c r="L19" s="369">
        <f t="shared" si="2"/>
        <v>299811</v>
      </c>
      <c r="M19" s="369">
        <v>200</v>
      </c>
      <c r="N19" s="369">
        <v>48000</v>
      </c>
      <c r="O19" s="369">
        <f t="shared" si="3"/>
        <v>23008</v>
      </c>
      <c r="P19" s="369">
        <f t="shared" si="4"/>
        <v>32211</v>
      </c>
      <c r="Q19" s="369">
        <v>1000</v>
      </c>
      <c r="R19" s="368">
        <v>0</v>
      </c>
      <c r="S19" s="369">
        <f t="shared" si="5"/>
        <v>104419</v>
      </c>
      <c r="T19" s="371">
        <f t="shared" si="6"/>
        <v>195392</v>
      </c>
    </row>
    <row r="20" spans="1:20" s="372" customFormat="1" ht="24.95" customHeight="1" x14ac:dyDescent="0.25">
      <c r="A20" s="364">
        <v>17</v>
      </c>
      <c r="B20" s="366" t="s">
        <v>230</v>
      </c>
      <c r="C20" s="366" t="s">
        <v>71</v>
      </c>
      <c r="D20" s="366" t="s">
        <v>184</v>
      </c>
      <c r="E20" s="370" t="s">
        <v>304</v>
      </c>
      <c r="F20" s="367">
        <v>143800</v>
      </c>
      <c r="G20" s="368">
        <f t="shared" si="7"/>
        <v>86280</v>
      </c>
      <c r="H20" s="368">
        <f t="shared" si="8"/>
        <v>5760</v>
      </c>
      <c r="I20" s="369">
        <f t="shared" si="0"/>
        <v>28760</v>
      </c>
      <c r="J20" s="368">
        <v>0</v>
      </c>
      <c r="K20" s="370">
        <f t="shared" si="1"/>
        <v>32211</v>
      </c>
      <c r="L20" s="369">
        <f t="shared" si="2"/>
        <v>296811</v>
      </c>
      <c r="M20" s="369">
        <v>200</v>
      </c>
      <c r="N20" s="369">
        <v>42000</v>
      </c>
      <c r="O20" s="369">
        <f t="shared" si="3"/>
        <v>23008</v>
      </c>
      <c r="P20" s="369">
        <f t="shared" si="4"/>
        <v>32211</v>
      </c>
      <c r="Q20" s="369">
        <v>1000</v>
      </c>
      <c r="R20" s="368">
        <v>0</v>
      </c>
      <c r="S20" s="369">
        <f t="shared" si="5"/>
        <v>98419</v>
      </c>
      <c r="T20" s="371">
        <f t="shared" si="6"/>
        <v>198392</v>
      </c>
    </row>
    <row r="21" spans="1:20" s="372" customFormat="1" ht="24.95" customHeight="1" x14ac:dyDescent="0.25">
      <c r="A21" s="364">
        <v>18</v>
      </c>
      <c r="B21" s="366" t="s">
        <v>228</v>
      </c>
      <c r="C21" s="366" t="s">
        <v>24</v>
      </c>
      <c r="D21" s="366" t="s">
        <v>184</v>
      </c>
      <c r="E21" s="370" t="s">
        <v>304</v>
      </c>
      <c r="F21" s="367">
        <v>152500</v>
      </c>
      <c r="G21" s="368">
        <f t="shared" si="7"/>
        <v>91500</v>
      </c>
      <c r="H21" s="368">
        <f t="shared" si="8"/>
        <v>5760</v>
      </c>
      <c r="I21" s="369">
        <f t="shared" si="0"/>
        <v>30500</v>
      </c>
      <c r="J21" s="368">
        <v>0</v>
      </c>
      <c r="K21" s="370">
        <f t="shared" si="1"/>
        <v>34160</v>
      </c>
      <c r="L21" s="369">
        <f t="shared" si="2"/>
        <v>314420</v>
      </c>
      <c r="M21" s="369">
        <v>200</v>
      </c>
      <c r="N21" s="369">
        <v>52000</v>
      </c>
      <c r="O21" s="369">
        <f t="shared" si="3"/>
        <v>24400</v>
      </c>
      <c r="P21" s="369">
        <f t="shared" si="4"/>
        <v>34160</v>
      </c>
      <c r="Q21" s="369">
        <v>1000</v>
      </c>
      <c r="R21" s="368">
        <v>0</v>
      </c>
      <c r="S21" s="369">
        <f t="shared" si="5"/>
        <v>111760</v>
      </c>
      <c r="T21" s="371">
        <f t="shared" si="6"/>
        <v>202660</v>
      </c>
    </row>
    <row r="22" spans="1:20" s="372" customFormat="1" ht="29.25" customHeight="1" x14ac:dyDescent="0.25">
      <c r="A22" s="364">
        <v>19</v>
      </c>
      <c r="B22" s="365" t="s">
        <v>224</v>
      </c>
      <c r="C22" s="365" t="s">
        <v>65</v>
      </c>
      <c r="D22" s="366" t="s">
        <v>23</v>
      </c>
      <c r="E22" s="365" t="s">
        <v>304</v>
      </c>
      <c r="F22" s="367">
        <v>143800</v>
      </c>
      <c r="G22" s="368">
        <f t="shared" si="7"/>
        <v>86280</v>
      </c>
      <c r="H22" s="368">
        <f t="shared" si="8"/>
        <v>5760</v>
      </c>
      <c r="I22" s="369">
        <f t="shared" si="0"/>
        <v>28760</v>
      </c>
      <c r="J22" s="368">
        <v>0</v>
      </c>
      <c r="K22" s="370">
        <f t="shared" si="1"/>
        <v>32211</v>
      </c>
      <c r="L22" s="369">
        <f t="shared" si="2"/>
        <v>296811</v>
      </c>
      <c r="M22" s="369">
        <v>200</v>
      </c>
      <c r="N22" s="369">
        <v>45000</v>
      </c>
      <c r="O22" s="369">
        <f t="shared" si="3"/>
        <v>23008</v>
      </c>
      <c r="P22" s="369">
        <f t="shared" si="4"/>
        <v>32211</v>
      </c>
      <c r="Q22" s="369">
        <v>1000</v>
      </c>
      <c r="R22" s="368">
        <v>0</v>
      </c>
      <c r="S22" s="369">
        <f t="shared" si="5"/>
        <v>101419</v>
      </c>
      <c r="T22" s="371">
        <f t="shared" si="6"/>
        <v>195392</v>
      </c>
    </row>
    <row r="23" spans="1:20" s="372" customFormat="1" ht="27" customHeight="1" x14ac:dyDescent="0.25">
      <c r="A23" s="364">
        <v>20</v>
      </c>
      <c r="B23" s="365" t="s">
        <v>205</v>
      </c>
      <c r="C23" s="365" t="s">
        <v>375</v>
      </c>
      <c r="D23" s="366" t="s">
        <v>376</v>
      </c>
      <c r="E23" s="365" t="s">
        <v>377</v>
      </c>
      <c r="F23" s="367">
        <v>139400</v>
      </c>
      <c r="G23" s="368">
        <f t="shared" si="7"/>
        <v>83640</v>
      </c>
      <c r="H23" s="368">
        <f t="shared" si="8"/>
        <v>5760</v>
      </c>
      <c r="I23" s="369">
        <f t="shared" si="0"/>
        <v>27880</v>
      </c>
      <c r="J23" s="368">
        <v>0</v>
      </c>
      <c r="K23" s="370">
        <f t="shared" si="1"/>
        <v>31226</v>
      </c>
      <c r="L23" s="369">
        <f t="shared" si="2"/>
        <v>287906</v>
      </c>
      <c r="M23" s="369">
        <v>200</v>
      </c>
      <c r="N23" s="369">
        <v>45000</v>
      </c>
      <c r="O23" s="369">
        <f t="shared" si="3"/>
        <v>22304</v>
      </c>
      <c r="P23" s="369">
        <f t="shared" si="4"/>
        <v>31226</v>
      </c>
      <c r="Q23" s="369">
        <v>1000</v>
      </c>
      <c r="R23" s="368">
        <v>0</v>
      </c>
      <c r="S23" s="369">
        <f t="shared" si="5"/>
        <v>99730</v>
      </c>
      <c r="T23" s="371">
        <f t="shared" si="6"/>
        <v>188176</v>
      </c>
    </row>
    <row r="24" spans="1:20" s="372" customFormat="1" ht="24.95" customHeight="1" x14ac:dyDescent="0.25">
      <c r="A24" s="364">
        <v>21</v>
      </c>
      <c r="B24" s="366" t="s">
        <v>234</v>
      </c>
      <c r="C24" s="366" t="s">
        <v>96</v>
      </c>
      <c r="D24" s="366" t="s">
        <v>23</v>
      </c>
      <c r="E24" s="370" t="s">
        <v>305</v>
      </c>
      <c r="F24" s="367">
        <v>107600</v>
      </c>
      <c r="G24" s="368">
        <f t="shared" si="7"/>
        <v>64560</v>
      </c>
      <c r="H24" s="368">
        <f t="shared" si="8"/>
        <v>5760</v>
      </c>
      <c r="I24" s="369">
        <f t="shared" si="0"/>
        <v>21520</v>
      </c>
      <c r="J24" s="368">
        <v>0</v>
      </c>
      <c r="K24" s="370">
        <f t="shared" si="1"/>
        <v>24102</v>
      </c>
      <c r="L24" s="369">
        <f t="shared" si="2"/>
        <v>223542</v>
      </c>
      <c r="M24" s="369">
        <v>200</v>
      </c>
      <c r="N24" s="369">
        <v>29000</v>
      </c>
      <c r="O24" s="369">
        <f t="shared" si="3"/>
        <v>17216</v>
      </c>
      <c r="P24" s="369">
        <f t="shared" si="4"/>
        <v>24102</v>
      </c>
      <c r="Q24" s="369">
        <v>1000</v>
      </c>
      <c r="R24" s="368">
        <v>0</v>
      </c>
      <c r="S24" s="369">
        <f t="shared" si="5"/>
        <v>71518</v>
      </c>
      <c r="T24" s="371">
        <f t="shared" si="6"/>
        <v>152024</v>
      </c>
    </row>
    <row r="25" spans="1:20" s="372" customFormat="1" ht="33" customHeight="1" x14ac:dyDescent="0.25">
      <c r="A25" s="364">
        <v>22</v>
      </c>
      <c r="B25" s="366" t="s">
        <v>233</v>
      </c>
      <c r="C25" s="366" t="s">
        <v>95</v>
      </c>
      <c r="D25" s="366" t="s">
        <v>23</v>
      </c>
      <c r="E25" s="370" t="s">
        <v>305</v>
      </c>
      <c r="F25" s="367">
        <v>107600</v>
      </c>
      <c r="G25" s="368">
        <f t="shared" si="7"/>
        <v>64560</v>
      </c>
      <c r="H25" s="368">
        <f t="shared" si="8"/>
        <v>5760</v>
      </c>
      <c r="I25" s="369">
        <f t="shared" si="0"/>
        <v>21520</v>
      </c>
      <c r="J25" s="368">
        <v>0</v>
      </c>
      <c r="K25" s="370">
        <f t="shared" si="1"/>
        <v>24102</v>
      </c>
      <c r="L25" s="369">
        <f t="shared" si="2"/>
        <v>223542</v>
      </c>
      <c r="M25" s="369">
        <v>200</v>
      </c>
      <c r="N25" s="369">
        <v>30000</v>
      </c>
      <c r="O25" s="369">
        <f t="shared" si="3"/>
        <v>17216</v>
      </c>
      <c r="P25" s="369">
        <f t="shared" si="4"/>
        <v>24102</v>
      </c>
      <c r="Q25" s="369">
        <v>1000</v>
      </c>
      <c r="R25" s="368">
        <v>0</v>
      </c>
      <c r="S25" s="369">
        <f t="shared" si="5"/>
        <v>72518</v>
      </c>
      <c r="T25" s="371">
        <f t="shared" si="6"/>
        <v>151024</v>
      </c>
    </row>
    <row r="26" spans="1:20" s="372" customFormat="1" ht="24.95" customHeight="1" x14ac:dyDescent="0.25">
      <c r="A26" s="364">
        <v>23</v>
      </c>
      <c r="B26" s="366" t="s">
        <v>235</v>
      </c>
      <c r="C26" s="366" t="s">
        <v>97</v>
      </c>
      <c r="D26" s="366" t="s">
        <v>23</v>
      </c>
      <c r="E26" s="370" t="s">
        <v>305</v>
      </c>
      <c r="F26" s="367">
        <v>107600</v>
      </c>
      <c r="G26" s="368">
        <f t="shared" si="7"/>
        <v>64560</v>
      </c>
      <c r="H26" s="368">
        <f t="shared" si="8"/>
        <v>5760</v>
      </c>
      <c r="I26" s="369">
        <f t="shared" si="0"/>
        <v>21520</v>
      </c>
      <c r="J26" s="368">
        <v>0</v>
      </c>
      <c r="K26" s="370">
        <f t="shared" si="1"/>
        <v>24102</v>
      </c>
      <c r="L26" s="369">
        <f t="shared" si="2"/>
        <v>223542</v>
      </c>
      <c r="M26" s="369">
        <v>200</v>
      </c>
      <c r="N26" s="369">
        <v>32000</v>
      </c>
      <c r="O26" s="369">
        <f t="shared" si="3"/>
        <v>17216</v>
      </c>
      <c r="P26" s="369">
        <f t="shared" si="4"/>
        <v>24102</v>
      </c>
      <c r="Q26" s="369">
        <v>1000</v>
      </c>
      <c r="R26" s="368">
        <v>0</v>
      </c>
      <c r="S26" s="369">
        <f t="shared" si="5"/>
        <v>74518</v>
      </c>
      <c r="T26" s="371">
        <f t="shared" si="6"/>
        <v>149024</v>
      </c>
    </row>
    <row r="27" spans="1:20" s="372" customFormat="1" ht="24.95" customHeight="1" x14ac:dyDescent="0.25">
      <c r="A27" s="364">
        <v>24</v>
      </c>
      <c r="B27" s="366" t="s">
        <v>236</v>
      </c>
      <c r="C27" s="366" t="s">
        <v>98</v>
      </c>
      <c r="D27" s="366" t="s">
        <v>23</v>
      </c>
      <c r="E27" s="370" t="s">
        <v>305</v>
      </c>
      <c r="F27" s="367">
        <v>107600</v>
      </c>
      <c r="G27" s="368">
        <f t="shared" si="7"/>
        <v>64560</v>
      </c>
      <c r="H27" s="368">
        <f t="shared" si="8"/>
        <v>5760</v>
      </c>
      <c r="I27" s="369">
        <f t="shared" si="0"/>
        <v>21520</v>
      </c>
      <c r="J27" s="368">
        <v>0</v>
      </c>
      <c r="K27" s="370">
        <f t="shared" si="1"/>
        <v>24102</v>
      </c>
      <c r="L27" s="369">
        <f t="shared" si="2"/>
        <v>223542</v>
      </c>
      <c r="M27" s="369">
        <v>200</v>
      </c>
      <c r="N27" s="369">
        <v>26000</v>
      </c>
      <c r="O27" s="369">
        <f t="shared" si="3"/>
        <v>17216</v>
      </c>
      <c r="P27" s="369">
        <f t="shared" si="4"/>
        <v>24102</v>
      </c>
      <c r="Q27" s="369">
        <v>1000</v>
      </c>
      <c r="R27" s="368">
        <v>0</v>
      </c>
      <c r="S27" s="369">
        <f t="shared" si="5"/>
        <v>68518</v>
      </c>
      <c r="T27" s="371">
        <f t="shared" si="6"/>
        <v>155024</v>
      </c>
    </row>
    <row r="28" spans="1:20" s="372" customFormat="1" ht="24.95" customHeight="1" x14ac:dyDescent="0.25">
      <c r="A28" s="364">
        <v>25</v>
      </c>
      <c r="B28" s="366" t="s">
        <v>238</v>
      </c>
      <c r="C28" s="366" t="s">
        <v>105</v>
      </c>
      <c r="D28" s="366" t="s">
        <v>23</v>
      </c>
      <c r="E28" s="370" t="s">
        <v>386</v>
      </c>
      <c r="F28" s="367">
        <v>131400</v>
      </c>
      <c r="G28" s="368">
        <f t="shared" si="7"/>
        <v>78840</v>
      </c>
      <c r="H28" s="368">
        <f t="shared" si="8"/>
        <v>5760</v>
      </c>
      <c r="I28" s="369">
        <f t="shared" si="0"/>
        <v>26280</v>
      </c>
      <c r="J28" s="368">
        <v>0</v>
      </c>
      <c r="K28" s="370">
        <f t="shared" si="1"/>
        <v>29434</v>
      </c>
      <c r="L28" s="369">
        <f t="shared" si="2"/>
        <v>271714</v>
      </c>
      <c r="M28" s="369">
        <v>200</v>
      </c>
      <c r="N28" s="369">
        <v>30000</v>
      </c>
      <c r="O28" s="369">
        <f t="shared" si="3"/>
        <v>21024</v>
      </c>
      <c r="P28" s="369">
        <f t="shared" si="4"/>
        <v>29434</v>
      </c>
      <c r="Q28" s="369">
        <v>1000</v>
      </c>
      <c r="R28" s="368">
        <v>0</v>
      </c>
      <c r="S28" s="369">
        <f t="shared" si="5"/>
        <v>81658</v>
      </c>
      <c r="T28" s="371">
        <f t="shared" si="6"/>
        <v>190056</v>
      </c>
    </row>
    <row r="29" spans="1:20" s="372" customFormat="1" ht="24.95" customHeight="1" x14ac:dyDescent="0.25">
      <c r="A29" s="364">
        <v>26</v>
      </c>
      <c r="B29" s="366" t="s">
        <v>239</v>
      </c>
      <c r="C29" s="366" t="s">
        <v>102</v>
      </c>
      <c r="D29" s="366" t="s">
        <v>23</v>
      </c>
      <c r="E29" s="370" t="s">
        <v>386</v>
      </c>
      <c r="F29" s="367">
        <v>131400</v>
      </c>
      <c r="G29" s="368">
        <f t="shared" si="7"/>
        <v>78840</v>
      </c>
      <c r="H29" s="368">
        <f t="shared" si="8"/>
        <v>5760</v>
      </c>
      <c r="I29" s="369">
        <f t="shared" si="0"/>
        <v>26280</v>
      </c>
      <c r="J29" s="368">
        <v>0</v>
      </c>
      <c r="K29" s="370">
        <f t="shared" si="1"/>
        <v>29434</v>
      </c>
      <c r="L29" s="369">
        <f t="shared" si="2"/>
        <v>271714</v>
      </c>
      <c r="M29" s="369">
        <v>200</v>
      </c>
      <c r="N29" s="369">
        <v>36000</v>
      </c>
      <c r="O29" s="369">
        <f t="shared" si="3"/>
        <v>21024</v>
      </c>
      <c r="P29" s="369">
        <f t="shared" si="4"/>
        <v>29434</v>
      </c>
      <c r="Q29" s="369">
        <v>1000</v>
      </c>
      <c r="R29" s="368">
        <v>40</v>
      </c>
      <c r="S29" s="369">
        <f t="shared" si="5"/>
        <v>87698</v>
      </c>
      <c r="T29" s="371">
        <f t="shared" si="6"/>
        <v>184016</v>
      </c>
    </row>
    <row r="30" spans="1:20" s="372" customFormat="1" ht="24.95" customHeight="1" x14ac:dyDescent="0.25">
      <c r="A30" s="364">
        <v>27</v>
      </c>
      <c r="B30" s="366" t="s">
        <v>237</v>
      </c>
      <c r="C30" s="366" t="s">
        <v>104</v>
      </c>
      <c r="D30" s="366" t="s">
        <v>23</v>
      </c>
      <c r="E30" s="370" t="s">
        <v>305</v>
      </c>
      <c r="F30" s="367">
        <v>104500</v>
      </c>
      <c r="G30" s="368">
        <f t="shared" si="7"/>
        <v>62700</v>
      </c>
      <c r="H30" s="368">
        <f t="shared" si="8"/>
        <v>5760</v>
      </c>
      <c r="I30" s="369">
        <f t="shared" si="0"/>
        <v>20900</v>
      </c>
      <c r="J30" s="368">
        <v>0</v>
      </c>
      <c r="K30" s="370">
        <f t="shared" si="1"/>
        <v>23408</v>
      </c>
      <c r="L30" s="369">
        <f t="shared" si="2"/>
        <v>217268</v>
      </c>
      <c r="M30" s="369">
        <v>200</v>
      </c>
      <c r="N30" s="369">
        <v>29500</v>
      </c>
      <c r="O30" s="369">
        <f t="shared" si="3"/>
        <v>16720</v>
      </c>
      <c r="P30" s="369">
        <f t="shared" si="4"/>
        <v>23408</v>
      </c>
      <c r="Q30" s="369">
        <v>1000</v>
      </c>
      <c r="R30" s="368">
        <v>0</v>
      </c>
      <c r="S30" s="369">
        <f t="shared" si="5"/>
        <v>70828</v>
      </c>
      <c r="T30" s="371">
        <f t="shared" si="6"/>
        <v>146440</v>
      </c>
    </row>
    <row r="31" spans="1:20" ht="24.95" customHeight="1" x14ac:dyDescent="0.25">
      <c r="A31" s="335">
        <v>28</v>
      </c>
      <c r="B31" s="342" t="s">
        <v>215</v>
      </c>
      <c r="C31" s="342" t="s">
        <v>112</v>
      </c>
      <c r="D31" s="342" t="s">
        <v>23</v>
      </c>
      <c r="E31" s="271" t="s">
        <v>305</v>
      </c>
      <c r="F31" s="343">
        <v>107600</v>
      </c>
      <c r="G31" s="339">
        <f t="shared" si="7"/>
        <v>64560</v>
      </c>
      <c r="H31" s="339">
        <f t="shared" si="8"/>
        <v>5760</v>
      </c>
      <c r="I31" s="182">
        <f t="shared" si="0"/>
        <v>21520</v>
      </c>
      <c r="J31" s="339">
        <v>0</v>
      </c>
      <c r="K31" s="271">
        <f t="shared" si="1"/>
        <v>24102</v>
      </c>
      <c r="L31" s="182">
        <f t="shared" si="2"/>
        <v>223542</v>
      </c>
      <c r="M31" s="182">
        <v>200</v>
      </c>
      <c r="N31" s="182">
        <v>25000</v>
      </c>
      <c r="O31" s="182">
        <f t="shared" si="3"/>
        <v>17216</v>
      </c>
      <c r="P31" s="182">
        <f t="shared" si="4"/>
        <v>24102</v>
      </c>
      <c r="Q31" s="182">
        <v>1000</v>
      </c>
      <c r="R31" s="339">
        <v>0</v>
      </c>
      <c r="S31" s="182">
        <f t="shared" si="5"/>
        <v>67518</v>
      </c>
      <c r="T31" s="344">
        <f t="shared" si="6"/>
        <v>156024</v>
      </c>
    </row>
    <row r="32" spans="1:20" ht="24.95" customHeight="1" x14ac:dyDescent="0.25">
      <c r="A32" s="335">
        <v>29</v>
      </c>
      <c r="B32" s="342" t="s">
        <v>214</v>
      </c>
      <c r="C32" s="342" t="s">
        <v>149</v>
      </c>
      <c r="D32" s="342" t="s">
        <v>23</v>
      </c>
      <c r="E32" s="271" t="s">
        <v>305</v>
      </c>
      <c r="F32" s="343">
        <v>107600</v>
      </c>
      <c r="G32" s="339">
        <f t="shared" si="7"/>
        <v>64560</v>
      </c>
      <c r="H32" s="339">
        <v>5760</v>
      </c>
      <c r="I32" s="182">
        <f t="shared" si="0"/>
        <v>21520</v>
      </c>
      <c r="J32" s="339">
        <v>0</v>
      </c>
      <c r="K32" s="271">
        <f t="shared" si="1"/>
        <v>24102</v>
      </c>
      <c r="L32" s="182">
        <f t="shared" si="2"/>
        <v>223542</v>
      </c>
      <c r="M32" s="182">
        <v>200</v>
      </c>
      <c r="N32" s="182">
        <v>28000</v>
      </c>
      <c r="O32" s="182">
        <f t="shared" si="3"/>
        <v>17216</v>
      </c>
      <c r="P32" s="182">
        <f t="shared" si="4"/>
        <v>24102</v>
      </c>
      <c r="Q32" s="182">
        <v>1000</v>
      </c>
      <c r="R32" s="339">
        <v>0</v>
      </c>
      <c r="S32" s="182">
        <f t="shared" si="5"/>
        <v>70518</v>
      </c>
      <c r="T32" s="344">
        <f t="shared" si="6"/>
        <v>153024</v>
      </c>
    </row>
    <row r="33" spans="1:22" ht="39.75" customHeight="1" x14ac:dyDescent="0.25">
      <c r="A33" s="335">
        <v>30</v>
      </c>
      <c r="B33" s="342" t="s">
        <v>309</v>
      </c>
      <c r="C33" s="342" t="s">
        <v>330</v>
      </c>
      <c r="D33" s="345" t="s">
        <v>23</v>
      </c>
      <c r="E33" s="330" t="s">
        <v>305</v>
      </c>
      <c r="F33" s="346">
        <v>104500</v>
      </c>
      <c r="G33" s="339">
        <f t="shared" si="7"/>
        <v>62700</v>
      </c>
      <c r="H33" s="339">
        <f t="shared" si="8"/>
        <v>5760</v>
      </c>
      <c r="I33" s="347">
        <f t="shared" si="0"/>
        <v>20900</v>
      </c>
      <c r="J33" s="339">
        <v>0</v>
      </c>
      <c r="K33" s="329">
        <f t="shared" si="1"/>
        <v>23408</v>
      </c>
      <c r="L33" s="347">
        <f t="shared" si="2"/>
        <v>217268</v>
      </c>
      <c r="M33" s="347">
        <v>200</v>
      </c>
      <c r="N33" s="347">
        <v>30000</v>
      </c>
      <c r="O33" s="347">
        <f t="shared" si="3"/>
        <v>16720</v>
      </c>
      <c r="P33" s="347">
        <f t="shared" si="4"/>
        <v>23408</v>
      </c>
      <c r="Q33" s="347">
        <v>1000</v>
      </c>
      <c r="R33" s="339">
        <v>0</v>
      </c>
      <c r="S33" s="347">
        <f t="shared" si="5"/>
        <v>71328</v>
      </c>
      <c r="T33" s="348">
        <f t="shared" si="6"/>
        <v>145940</v>
      </c>
    </row>
    <row r="34" spans="1:22" ht="31.5" customHeight="1" x14ac:dyDescent="0.25">
      <c r="A34" s="335">
        <v>31</v>
      </c>
      <c r="B34" s="341" t="s">
        <v>249</v>
      </c>
      <c r="C34" s="342" t="s">
        <v>250</v>
      </c>
      <c r="D34" s="342" t="s">
        <v>23</v>
      </c>
      <c r="E34" s="271" t="s">
        <v>358</v>
      </c>
      <c r="F34" s="343">
        <v>104500</v>
      </c>
      <c r="G34" s="339">
        <f t="shared" si="7"/>
        <v>62700</v>
      </c>
      <c r="H34" s="339">
        <f t="shared" si="8"/>
        <v>5760</v>
      </c>
      <c r="I34" s="182">
        <f t="shared" si="0"/>
        <v>20900</v>
      </c>
      <c r="J34" s="339">
        <v>5000</v>
      </c>
      <c r="K34" s="271">
        <f t="shared" si="1"/>
        <v>23408</v>
      </c>
      <c r="L34" s="182">
        <f t="shared" si="2"/>
        <v>222268</v>
      </c>
      <c r="M34" s="182">
        <v>200</v>
      </c>
      <c r="N34" s="182">
        <v>20000</v>
      </c>
      <c r="O34" s="182">
        <f t="shared" si="3"/>
        <v>16720</v>
      </c>
      <c r="P34" s="182">
        <f t="shared" si="4"/>
        <v>23408</v>
      </c>
      <c r="Q34" s="182">
        <v>1000</v>
      </c>
      <c r="R34" s="339">
        <v>0</v>
      </c>
      <c r="S34" s="182">
        <f t="shared" si="5"/>
        <v>61328</v>
      </c>
      <c r="T34" s="344">
        <f t="shared" si="6"/>
        <v>160940</v>
      </c>
      <c r="V34" s="170">
        <v>159121</v>
      </c>
    </row>
    <row r="35" spans="1:22" ht="24.95" customHeight="1" x14ac:dyDescent="0.25">
      <c r="A35" s="335">
        <v>32</v>
      </c>
      <c r="B35" s="341" t="s">
        <v>302</v>
      </c>
      <c r="C35" s="342" t="s">
        <v>274</v>
      </c>
      <c r="D35" s="342" t="s">
        <v>23</v>
      </c>
      <c r="E35" s="342" t="s">
        <v>307</v>
      </c>
      <c r="F35" s="346">
        <f>89900</f>
        <v>89900</v>
      </c>
      <c r="G35" s="339">
        <f t="shared" si="7"/>
        <v>53940</v>
      </c>
      <c r="H35" s="339">
        <f t="shared" si="8"/>
        <v>5760</v>
      </c>
      <c r="I35" s="347">
        <f t="shared" si="0"/>
        <v>17980</v>
      </c>
      <c r="J35" s="339">
        <v>0</v>
      </c>
      <c r="K35" s="329">
        <f t="shared" si="1"/>
        <v>20138</v>
      </c>
      <c r="L35" s="347">
        <f t="shared" si="2"/>
        <v>187718</v>
      </c>
      <c r="M35" s="347">
        <v>200</v>
      </c>
      <c r="N35" s="347">
        <v>15000</v>
      </c>
      <c r="O35" s="182">
        <f t="shared" si="3"/>
        <v>14384</v>
      </c>
      <c r="P35" s="182">
        <f t="shared" si="4"/>
        <v>20138</v>
      </c>
      <c r="Q35" s="182">
        <v>650</v>
      </c>
      <c r="R35" s="339">
        <v>0</v>
      </c>
      <c r="S35" s="182">
        <f t="shared" si="5"/>
        <v>50372</v>
      </c>
      <c r="T35" s="344">
        <f t="shared" si="6"/>
        <v>137346</v>
      </c>
      <c r="V35" s="172">
        <f>+V34-T34</f>
        <v>-1819</v>
      </c>
    </row>
    <row r="36" spans="1:22" ht="39" customHeight="1" x14ac:dyDescent="0.25">
      <c r="A36" s="335">
        <v>33</v>
      </c>
      <c r="B36" s="349" t="s">
        <v>311</v>
      </c>
      <c r="C36" s="342" t="s">
        <v>312</v>
      </c>
      <c r="D36" s="345" t="s">
        <v>23</v>
      </c>
      <c r="E36" s="330" t="s">
        <v>305</v>
      </c>
      <c r="F36" s="346">
        <v>104500</v>
      </c>
      <c r="G36" s="339">
        <f t="shared" si="7"/>
        <v>62700</v>
      </c>
      <c r="H36" s="339">
        <f t="shared" si="8"/>
        <v>5760</v>
      </c>
      <c r="I36" s="347">
        <f t="shared" si="0"/>
        <v>20900</v>
      </c>
      <c r="J36" s="339">
        <v>0</v>
      </c>
      <c r="K36" s="329">
        <f t="shared" si="1"/>
        <v>23408</v>
      </c>
      <c r="L36" s="347">
        <f t="shared" si="2"/>
        <v>217268</v>
      </c>
      <c r="M36" s="347">
        <v>200</v>
      </c>
      <c r="N36" s="347">
        <v>30000</v>
      </c>
      <c r="O36" s="347">
        <f t="shared" si="3"/>
        <v>16720</v>
      </c>
      <c r="P36" s="347">
        <f t="shared" si="4"/>
        <v>23408</v>
      </c>
      <c r="Q36" s="347">
        <v>1000</v>
      </c>
      <c r="R36" s="339">
        <v>0</v>
      </c>
      <c r="S36" s="347">
        <f t="shared" si="5"/>
        <v>71328</v>
      </c>
      <c r="T36" s="348">
        <f t="shared" si="6"/>
        <v>145940</v>
      </c>
    </row>
    <row r="37" spans="1:22" ht="39" customHeight="1" thickBot="1" x14ac:dyDescent="0.3">
      <c r="A37" s="335">
        <v>34</v>
      </c>
      <c r="B37" s="345" t="s">
        <v>315</v>
      </c>
      <c r="C37" s="345" t="s">
        <v>316</v>
      </c>
      <c r="D37" s="345" t="s">
        <v>23</v>
      </c>
      <c r="E37" s="345" t="s">
        <v>307</v>
      </c>
      <c r="F37" s="346">
        <f>89900</f>
        <v>89900</v>
      </c>
      <c r="G37" s="350">
        <f t="shared" si="7"/>
        <v>53940</v>
      </c>
      <c r="H37" s="350">
        <f t="shared" si="8"/>
        <v>5760</v>
      </c>
      <c r="I37" s="347">
        <f t="shared" si="0"/>
        <v>17980</v>
      </c>
      <c r="J37" s="350">
        <v>0</v>
      </c>
      <c r="K37" s="329">
        <f t="shared" si="1"/>
        <v>20138</v>
      </c>
      <c r="L37" s="347">
        <f t="shared" si="2"/>
        <v>187718</v>
      </c>
      <c r="M37" s="347">
        <v>200</v>
      </c>
      <c r="N37" s="347">
        <v>20000</v>
      </c>
      <c r="O37" s="347">
        <f t="shared" si="3"/>
        <v>14384</v>
      </c>
      <c r="P37" s="347">
        <f t="shared" si="4"/>
        <v>20138</v>
      </c>
      <c r="Q37" s="347">
        <v>650</v>
      </c>
      <c r="R37" s="350">
        <v>0</v>
      </c>
      <c r="S37" s="347">
        <f t="shared" si="5"/>
        <v>55372</v>
      </c>
      <c r="T37" s="348">
        <f t="shared" si="6"/>
        <v>132346</v>
      </c>
    </row>
    <row r="38" spans="1:22" ht="24.95" customHeight="1" thickBot="1" x14ac:dyDescent="0.3">
      <c r="A38" s="400" t="s">
        <v>36</v>
      </c>
      <c r="B38" s="401"/>
      <c r="C38" s="401"/>
      <c r="D38" s="401"/>
      <c r="E38" s="402"/>
      <c r="F38" s="310">
        <f t="shared" ref="F38:Q38" si="9">+SUM(F4:F37)</f>
        <v>4597200</v>
      </c>
      <c r="G38" s="310">
        <f t="shared" si="9"/>
        <v>2758320</v>
      </c>
      <c r="H38" s="310">
        <f t="shared" si="9"/>
        <v>195840</v>
      </c>
      <c r="I38" s="310">
        <f t="shared" si="9"/>
        <v>919440</v>
      </c>
      <c r="J38" s="310">
        <f t="shared" si="9"/>
        <v>29000</v>
      </c>
      <c r="K38" s="310">
        <f t="shared" si="9"/>
        <v>1029771</v>
      </c>
      <c r="L38" s="310">
        <f t="shared" si="9"/>
        <v>9529571</v>
      </c>
      <c r="M38" s="310">
        <f t="shared" si="9"/>
        <v>6800</v>
      </c>
      <c r="N38" s="310">
        <f t="shared" si="9"/>
        <v>1485500</v>
      </c>
      <c r="O38" s="310">
        <f t="shared" si="9"/>
        <v>735552</v>
      </c>
      <c r="P38" s="310">
        <f t="shared" si="9"/>
        <v>1029771</v>
      </c>
      <c r="Q38" s="310">
        <f t="shared" si="9"/>
        <v>33300</v>
      </c>
      <c r="R38" s="310">
        <f>+SUM(R4:R37)</f>
        <v>522</v>
      </c>
      <c r="S38" s="310">
        <f>+SUM(S4:S37)</f>
        <v>3291445</v>
      </c>
      <c r="T38" s="311">
        <f>+SUM(T4:T37)</f>
        <v>6238126</v>
      </c>
    </row>
    <row r="39" spans="1:22" ht="15" x14ac:dyDescent="0.25">
      <c r="A39" s="403" t="s">
        <v>404</v>
      </c>
      <c r="B39" s="403"/>
      <c r="C39" s="403"/>
      <c r="D39" s="403"/>
      <c r="T39" s="172"/>
    </row>
    <row r="40" spans="1:22" x14ac:dyDescent="0.25">
      <c r="F40" s="259"/>
    </row>
    <row r="41" spans="1:22" x14ac:dyDescent="0.25">
      <c r="S41" s="172"/>
    </row>
    <row r="42" spans="1:22" s="175" customFormat="1" ht="15" x14ac:dyDescent="0.25">
      <c r="E42" s="176"/>
      <c r="F42" s="176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</row>
    <row r="43" spans="1:22" s="175" customFormat="1" ht="15" x14ac:dyDescent="0.25">
      <c r="D43" s="176"/>
      <c r="E43" s="176"/>
      <c r="G43" s="185"/>
      <c r="O43" s="298"/>
      <c r="P43" s="185"/>
      <c r="Q43" s="185"/>
      <c r="R43" s="183" t="s">
        <v>246</v>
      </c>
      <c r="S43" s="298"/>
      <c r="T43" s="185"/>
      <c r="U43" s="185"/>
    </row>
    <row r="44" spans="1:22" s="175" customFormat="1" ht="15" x14ac:dyDescent="0.25">
      <c r="D44" s="176"/>
      <c r="E44" s="176"/>
      <c r="G44" s="185"/>
      <c r="N44" s="298"/>
      <c r="O44" s="185"/>
      <c r="P44" s="185"/>
      <c r="Q44" s="185"/>
      <c r="R44" s="185"/>
      <c r="S44" s="185"/>
      <c r="T44" s="185"/>
      <c r="U44" s="185"/>
    </row>
    <row r="45" spans="1:22" s="175" customFormat="1" ht="15" x14ac:dyDescent="0.25">
      <c r="D45" s="176"/>
      <c r="E45" s="176"/>
      <c r="G45" s="185"/>
      <c r="N45" s="298"/>
      <c r="O45" s="185"/>
      <c r="P45" s="185"/>
      <c r="Q45" s="185"/>
      <c r="R45" s="185"/>
      <c r="S45" s="185"/>
      <c r="T45" s="185"/>
      <c r="U45" s="185"/>
    </row>
    <row r="46" spans="1:22" s="175" customFormat="1" ht="15" x14ac:dyDescent="0.25">
      <c r="D46" s="176"/>
      <c r="E46" s="176"/>
      <c r="G46" s="185"/>
      <c r="N46" s="298"/>
      <c r="O46" s="185"/>
      <c r="P46" s="185"/>
      <c r="Q46" s="185"/>
      <c r="R46" s="185"/>
      <c r="S46" s="185"/>
      <c r="T46" s="185"/>
      <c r="U46" s="185"/>
    </row>
    <row r="47" spans="1:22" s="175" customFormat="1" ht="15" x14ac:dyDescent="0.25">
      <c r="D47" s="176"/>
      <c r="E47" s="176"/>
      <c r="G47" s="185"/>
      <c r="N47" s="298"/>
      <c r="O47" s="185"/>
      <c r="P47" s="185"/>
      <c r="Q47" s="185"/>
      <c r="R47" s="185"/>
      <c r="S47" s="185"/>
      <c r="T47" s="185"/>
      <c r="U47" s="185"/>
    </row>
    <row r="48" spans="1:22" s="183" customFormat="1" ht="15.75" x14ac:dyDescent="0.25">
      <c r="A48" s="291"/>
      <c r="B48" s="184" t="s">
        <v>87</v>
      </c>
      <c r="C48" s="291"/>
      <c r="D48" s="176"/>
      <c r="F48" s="291"/>
      <c r="G48" s="184" t="s">
        <v>251</v>
      </c>
      <c r="H48" s="291"/>
      <c r="J48" s="175"/>
      <c r="K48" s="299"/>
      <c r="L48" s="183" t="s">
        <v>251</v>
      </c>
      <c r="M48" s="175"/>
      <c r="N48" s="298"/>
    </row>
    <row r="49" spans="1:21" s="175" customFormat="1" ht="30" x14ac:dyDescent="0.25">
      <c r="A49" s="291"/>
      <c r="B49" s="184" t="s">
        <v>299</v>
      </c>
      <c r="C49" s="291"/>
      <c r="D49" s="176"/>
      <c r="F49" s="291"/>
      <c r="G49" s="184" t="s">
        <v>389</v>
      </c>
      <c r="H49" s="291"/>
      <c r="K49" s="299"/>
      <c r="L49" s="328" t="s">
        <v>396</v>
      </c>
      <c r="N49" s="298"/>
      <c r="O49" s="185"/>
      <c r="P49" s="185"/>
      <c r="R49" s="298"/>
      <c r="T49" s="185"/>
      <c r="U49" s="185"/>
    </row>
    <row r="50" spans="1:21" s="175" customFormat="1" ht="45" x14ac:dyDescent="0.25">
      <c r="A50" s="291"/>
      <c r="B50" s="328" t="s">
        <v>390</v>
      </c>
      <c r="C50" s="291"/>
      <c r="D50" s="176"/>
      <c r="F50" s="291"/>
      <c r="G50" s="328" t="str">
        <f>+Contract!E41</f>
        <v>ASSISTANT REGISTRAR (F&amp;A)</v>
      </c>
      <c r="H50" s="291"/>
      <c r="K50" s="299"/>
      <c r="L50" s="328" t="s">
        <v>393</v>
      </c>
      <c r="N50" s="298"/>
      <c r="O50" s="185"/>
      <c r="P50" s="185"/>
      <c r="R50" s="175" t="s">
        <v>146</v>
      </c>
      <c r="T50" s="185"/>
      <c r="U50" s="185"/>
    </row>
    <row r="51" spans="1:21" s="175" customFormat="1" ht="15" x14ac:dyDescent="0.25">
      <c r="D51" s="176"/>
      <c r="E51" s="176"/>
      <c r="G51" s="185"/>
      <c r="N51" s="298"/>
      <c r="O51" s="185"/>
      <c r="P51" s="185"/>
      <c r="Q51" s="185"/>
      <c r="R51" s="175" t="s">
        <v>182</v>
      </c>
      <c r="S51" s="185"/>
      <c r="T51" s="185"/>
      <c r="U51" s="185"/>
    </row>
    <row r="52" spans="1:21" s="175" customFormat="1" ht="15" x14ac:dyDescent="0.25">
      <c r="D52" s="176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</row>
  </sheetData>
  <mergeCells count="4">
    <mergeCell ref="M1:N1"/>
    <mergeCell ref="A2:T2"/>
    <mergeCell ref="A38:E38"/>
    <mergeCell ref="A39:D39"/>
  </mergeCells>
  <conditionalFormatting sqref="B6">
    <cfRule type="duplicateValues" dxfId="51" priority="333"/>
  </conditionalFormatting>
  <conditionalFormatting sqref="B7">
    <cfRule type="duplicateValues" dxfId="50" priority="301"/>
  </conditionalFormatting>
  <conditionalFormatting sqref="C7">
    <cfRule type="duplicateValues" dxfId="49" priority="302"/>
  </conditionalFormatting>
  <conditionalFormatting sqref="B8">
    <cfRule type="duplicateValues" dxfId="48" priority="299"/>
  </conditionalFormatting>
  <conditionalFormatting sqref="C8">
    <cfRule type="duplicateValues" dxfId="47" priority="300"/>
  </conditionalFormatting>
  <conditionalFormatting sqref="B9">
    <cfRule type="duplicateValues" dxfId="46" priority="297"/>
  </conditionalFormatting>
  <conditionalFormatting sqref="C9">
    <cfRule type="duplicateValues" dxfId="45" priority="298"/>
  </conditionalFormatting>
  <conditionalFormatting sqref="B10">
    <cfRule type="duplicateValues" dxfId="44" priority="295"/>
  </conditionalFormatting>
  <conditionalFormatting sqref="C10">
    <cfRule type="duplicateValues" dxfId="43" priority="296"/>
  </conditionalFormatting>
  <conditionalFormatting sqref="B11">
    <cfRule type="duplicateValues" dxfId="42" priority="293"/>
  </conditionalFormatting>
  <conditionalFormatting sqref="C11">
    <cfRule type="duplicateValues" dxfId="41" priority="294"/>
  </conditionalFormatting>
  <conditionalFormatting sqref="B17">
    <cfRule type="duplicateValues" dxfId="40" priority="291"/>
  </conditionalFormatting>
  <conditionalFormatting sqref="C17">
    <cfRule type="duplicateValues" dxfId="39" priority="292"/>
  </conditionalFormatting>
  <conditionalFormatting sqref="B15">
    <cfRule type="duplicateValues" dxfId="38" priority="289"/>
  </conditionalFormatting>
  <conditionalFormatting sqref="C15">
    <cfRule type="duplicateValues" dxfId="37" priority="290"/>
  </conditionalFormatting>
  <conditionalFormatting sqref="B16">
    <cfRule type="duplicateValues" dxfId="36" priority="287"/>
  </conditionalFormatting>
  <conditionalFormatting sqref="C16">
    <cfRule type="duplicateValues" dxfId="35" priority="288"/>
  </conditionalFormatting>
  <conditionalFormatting sqref="B21">
    <cfRule type="duplicateValues" dxfId="34" priority="285"/>
  </conditionalFormatting>
  <conditionalFormatting sqref="C21">
    <cfRule type="duplicateValues" dxfId="33" priority="286"/>
  </conditionalFormatting>
  <conditionalFormatting sqref="A38 A2 C12:C14 C18:C20 C3:C6 C22 C25:C37">
    <cfRule type="duplicateValues" dxfId="32" priority="528"/>
  </conditionalFormatting>
  <conditionalFormatting sqref="B23:B24">
    <cfRule type="duplicateValues" dxfId="31" priority="24"/>
  </conditionalFormatting>
  <conditionalFormatting sqref="C23:C24">
    <cfRule type="duplicateValues" dxfId="30" priority="26"/>
  </conditionalFormatting>
  <conditionalFormatting sqref="B22 B18:B20 B12:B14 B4:B5 B25:B37">
    <cfRule type="duplicateValues" dxfId="29" priority="534"/>
  </conditionalFormatting>
  <conditionalFormatting sqref="A4:A37">
    <cfRule type="duplicateValues" dxfId="28" priority="540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8" scale="56" orientation="landscape" horizont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24B8-EA52-453F-9BE8-83DCEF9EED6D}">
  <sheetPr codeName="Sheet13">
    <pageSetUpPr fitToPage="1"/>
  </sheetPr>
  <dimension ref="A1:M9"/>
  <sheetViews>
    <sheetView workbookViewId="0">
      <selection activeCell="F20" sqref="F20"/>
    </sheetView>
  </sheetViews>
  <sheetFormatPr defaultRowHeight="15" x14ac:dyDescent="0.25"/>
  <cols>
    <col min="1" max="1" width="18.7109375" style="162" customWidth="1"/>
    <col min="2" max="2" width="16.7109375" customWidth="1"/>
    <col min="3" max="3" width="16.5703125" customWidth="1"/>
    <col min="4" max="4" width="17.5703125" customWidth="1"/>
    <col min="5" max="5" width="14.28515625" bestFit="1" customWidth="1"/>
    <col min="6" max="6" width="16.28515625" customWidth="1"/>
    <col min="7" max="7" width="10.140625" bestFit="1" customWidth="1"/>
    <col min="8" max="8" width="11.7109375" bestFit="1" customWidth="1"/>
    <col min="9" max="9" width="12.28515625" customWidth="1"/>
    <col min="10" max="10" width="9.28515625" bestFit="1" customWidth="1"/>
    <col min="11" max="11" width="25.42578125" customWidth="1"/>
    <col min="12" max="12" width="21.42578125" customWidth="1"/>
    <col min="13" max="13" width="18.5703125" customWidth="1"/>
  </cols>
  <sheetData>
    <row r="1" spans="1:13" ht="15" customHeight="1" thickBot="1" x14ac:dyDescent="0.3">
      <c r="A1" s="391" t="s">
        <v>289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3"/>
    </row>
    <row r="2" spans="1:13" s="147" customFormat="1" ht="38.25" customHeight="1" x14ac:dyDescent="0.25">
      <c r="A2" s="156" t="s">
        <v>276</v>
      </c>
      <c r="B2" s="155" t="s">
        <v>277</v>
      </c>
      <c r="C2" s="155" t="s">
        <v>278</v>
      </c>
      <c r="D2" s="155" t="s">
        <v>279</v>
      </c>
      <c r="E2" s="156" t="s">
        <v>280</v>
      </c>
      <c r="F2" s="155" t="s">
        <v>281</v>
      </c>
      <c r="G2" s="155" t="s">
        <v>160</v>
      </c>
      <c r="H2" s="155" t="s">
        <v>282</v>
      </c>
      <c r="I2" s="155" t="s">
        <v>283</v>
      </c>
      <c r="J2" s="155" t="s">
        <v>284</v>
      </c>
      <c r="K2" s="155" t="s">
        <v>285</v>
      </c>
      <c r="L2" s="155" t="s">
        <v>286</v>
      </c>
      <c r="M2" s="155" t="s">
        <v>287</v>
      </c>
    </row>
    <row r="3" spans="1:13" ht="30" x14ac:dyDescent="0.25">
      <c r="A3" s="160" t="s">
        <v>290</v>
      </c>
      <c r="B3" s="159">
        <v>139400</v>
      </c>
      <c r="C3" s="159">
        <v>139600</v>
      </c>
      <c r="D3" s="159">
        <f t="shared" ref="D3" si="0">+C3-B3</f>
        <v>200</v>
      </c>
      <c r="E3" s="149">
        <v>30</v>
      </c>
      <c r="F3" s="159">
        <f>ROUND(D3*E3/30,0)</f>
        <v>200</v>
      </c>
      <c r="G3" s="159">
        <f>ROUNDUP(F3*55/100,0)</f>
        <v>110</v>
      </c>
      <c r="H3" s="159">
        <f t="shared" ref="H3" si="1">ROUND(F3*20/100,0)</f>
        <v>40</v>
      </c>
      <c r="I3" s="159">
        <f t="shared" ref="I3" si="2">+ROUND(SUM(F3+G3)*14/100,0)</f>
        <v>43</v>
      </c>
      <c r="J3" s="159">
        <f t="shared" ref="J3" si="3">ROUND(SUM(F3:I3,),0)</f>
        <v>393</v>
      </c>
      <c r="K3" s="159">
        <f>+ROUNDUP(SUM(F3+G3)*10/100,0)</f>
        <v>31</v>
      </c>
      <c r="L3" s="159">
        <f>+I3</f>
        <v>43</v>
      </c>
      <c r="M3" s="159">
        <f>+J3-K3-L3</f>
        <v>319</v>
      </c>
    </row>
    <row r="4" spans="1:13" ht="30" x14ac:dyDescent="0.25">
      <c r="A4" s="160" t="s">
        <v>292</v>
      </c>
      <c r="B4" s="159">
        <v>139400</v>
      </c>
      <c r="C4" s="159">
        <v>139600</v>
      </c>
      <c r="D4" s="159">
        <f t="shared" ref="D4" si="4">+C4-B4</f>
        <v>200</v>
      </c>
      <c r="E4" s="149">
        <v>30</v>
      </c>
      <c r="F4" s="159">
        <f t="shared" ref="F4:F7" si="5">ROUND(D4*E4/30,0)</f>
        <v>200</v>
      </c>
      <c r="G4" s="159">
        <f t="shared" ref="G4:G7" si="6">ROUNDUP(F4*55/100,0)</f>
        <v>110</v>
      </c>
      <c r="H4" s="159">
        <f t="shared" ref="H4" si="7">ROUND(F4*20/100,0)</f>
        <v>40</v>
      </c>
      <c r="I4" s="159">
        <f t="shared" ref="I4" si="8">+ROUND(SUM(F4+G4)*14/100,0)</f>
        <v>43</v>
      </c>
      <c r="J4" s="159">
        <f t="shared" ref="J4" si="9">ROUND(SUM(F4:I4,),0)</f>
        <v>393</v>
      </c>
      <c r="K4" s="159">
        <f>+ROUNDUP(SUM(F4+G4)*10/100,0)</f>
        <v>31</v>
      </c>
      <c r="L4" s="159">
        <f>+I4</f>
        <v>43</v>
      </c>
      <c r="M4" s="159">
        <f t="shared" ref="M4:M7" si="10">+J4-K4-L4</f>
        <v>319</v>
      </c>
    </row>
    <row r="5" spans="1:13" x14ac:dyDescent="0.25">
      <c r="A5" s="160" t="s">
        <v>293</v>
      </c>
      <c r="B5" s="159">
        <v>135300</v>
      </c>
      <c r="C5" s="159">
        <v>139600</v>
      </c>
      <c r="D5" s="159">
        <f t="shared" ref="D5" si="11">+C5-B5</f>
        <v>4300</v>
      </c>
      <c r="E5" s="149">
        <v>30</v>
      </c>
      <c r="F5" s="159">
        <f t="shared" si="5"/>
        <v>4300</v>
      </c>
      <c r="G5" s="159">
        <f t="shared" si="6"/>
        <v>2365</v>
      </c>
      <c r="H5" s="159">
        <f t="shared" ref="H5" si="12">ROUND(F5*20/100,0)</f>
        <v>860</v>
      </c>
      <c r="I5" s="159">
        <f t="shared" ref="I5" si="13">+ROUND(SUM(F5+G5)*14/100,0)</f>
        <v>933</v>
      </c>
      <c r="J5" s="159">
        <f t="shared" ref="J5" si="14">ROUND(SUM(F5:I5,),0)</f>
        <v>8458</v>
      </c>
      <c r="K5" s="159">
        <f>+ROUNDUP(SUM(F5+G5)*10/100,0)</f>
        <v>667</v>
      </c>
      <c r="L5" s="159">
        <f>+I5</f>
        <v>933</v>
      </c>
      <c r="M5" s="159">
        <f t="shared" si="10"/>
        <v>6858</v>
      </c>
    </row>
    <row r="6" spans="1:13" x14ac:dyDescent="0.25">
      <c r="A6" s="160" t="s">
        <v>294</v>
      </c>
      <c r="B6" s="159">
        <v>131400</v>
      </c>
      <c r="C6" s="159">
        <v>139600</v>
      </c>
      <c r="D6" s="159">
        <f t="shared" ref="D6" si="15">+C6-B6</f>
        <v>8200</v>
      </c>
      <c r="E6" s="149">
        <v>30</v>
      </c>
      <c r="F6" s="159">
        <f t="shared" si="5"/>
        <v>8200</v>
      </c>
      <c r="G6" s="159">
        <f t="shared" si="6"/>
        <v>4510</v>
      </c>
      <c r="H6" s="159">
        <f t="shared" ref="H6" si="16">ROUND(F6*20/100,0)</f>
        <v>1640</v>
      </c>
      <c r="I6" s="159">
        <f t="shared" ref="I6" si="17">+ROUND(SUM(F6+G6)*14/100,0)</f>
        <v>1779</v>
      </c>
      <c r="J6" s="159">
        <f t="shared" ref="J6" si="18">ROUND(SUM(F6:I6,),0)</f>
        <v>16129</v>
      </c>
      <c r="K6" s="159">
        <f>+ROUNDUP(SUM(F6+G6)*10/100,0)</f>
        <v>1271</v>
      </c>
      <c r="L6" s="159">
        <f>+I6</f>
        <v>1779</v>
      </c>
      <c r="M6" s="159">
        <f t="shared" si="10"/>
        <v>13079</v>
      </c>
    </row>
    <row r="7" spans="1:13" x14ac:dyDescent="0.25">
      <c r="A7" s="160" t="s">
        <v>296</v>
      </c>
      <c r="B7" s="159">
        <v>131400</v>
      </c>
      <c r="C7" s="159">
        <v>139600</v>
      </c>
      <c r="D7" s="159">
        <f t="shared" ref="D7" si="19">+C7-B7</f>
        <v>8200</v>
      </c>
      <c r="E7" s="149">
        <v>30</v>
      </c>
      <c r="F7" s="159">
        <f t="shared" si="5"/>
        <v>8200</v>
      </c>
      <c r="G7" s="159">
        <f t="shared" si="6"/>
        <v>4510</v>
      </c>
      <c r="H7" s="159">
        <f t="shared" ref="H7" si="20">ROUND(F7*20/100,0)</f>
        <v>1640</v>
      </c>
      <c r="I7" s="159">
        <f t="shared" ref="I7" si="21">+ROUND(SUM(F7+G7)*14/100,0)</f>
        <v>1779</v>
      </c>
      <c r="J7" s="159">
        <f t="shared" ref="J7" si="22">ROUND(SUM(F7:I7,),0)</f>
        <v>16129</v>
      </c>
      <c r="K7" s="159">
        <f>+ROUNDUP(SUM(F7+G7)*10/100,0)</f>
        <v>1271</v>
      </c>
      <c r="L7" s="159">
        <f>+I7</f>
        <v>1779</v>
      </c>
      <c r="M7" s="159">
        <f t="shared" si="10"/>
        <v>13079</v>
      </c>
    </row>
    <row r="8" spans="1:13" x14ac:dyDescent="0.25">
      <c r="A8" s="389" t="s">
        <v>36</v>
      </c>
      <c r="B8" s="389"/>
      <c r="C8" s="389"/>
      <c r="D8" s="389"/>
      <c r="E8" s="389"/>
      <c r="F8" s="154">
        <f t="shared" ref="F8:M8" si="23">+SUM(F3:F7)</f>
        <v>21100</v>
      </c>
      <c r="G8" s="154">
        <f t="shared" si="23"/>
        <v>11605</v>
      </c>
      <c r="H8" s="154">
        <f t="shared" si="23"/>
        <v>4220</v>
      </c>
      <c r="I8" s="154">
        <f t="shared" si="23"/>
        <v>4577</v>
      </c>
      <c r="J8" s="154">
        <f t="shared" si="23"/>
        <v>41502</v>
      </c>
      <c r="K8" s="154">
        <f t="shared" si="23"/>
        <v>3271</v>
      </c>
      <c r="L8" s="154">
        <f t="shared" si="23"/>
        <v>4577</v>
      </c>
      <c r="M8" s="154">
        <f t="shared" si="23"/>
        <v>33654</v>
      </c>
    </row>
    <row r="9" spans="1:13" ht="15.75" x14ac:dyDescent="0.25">
      <c r="A9" s="161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</row>
  </sheetData>
  <mergeCells count="2">
    <mergeCell ref="A8:E8"/>
    <mergeCell ref="A1:M1"/>
  </mergeCells>
  <conditionalFormatting sqref="A1">
    <cfRule type="duplicateValues" dxfId="27" priority="1"/>
  </conditionalFormatting>
  <conditionalFormatting sqref="F2:M2 A2:D2">
    <cfRule type="duplicateValues" dxfId="26" priority="423"/>
  </conditionalFormatting>
  <pageMargins left="0.7" right="0.7" top="0.75" bottom="0.75" header="0.3" footer="0.3"/>
  <pageSetup paperSize="9" scale="63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U62"/>
  <sheetViews>
    <sheetView zoomScale="70" zoomScaleNormal="70" workbookViewId="0">
      <pane xSplit="5" topLeftCell="F1" activePane="topRight" state="frozen"/>
      <selection activeCell="R39" sqref="R39"/>
      <selection pane="topRight" activeCell="A13" sqref="A13:XFD13"/>
    </sheetView>
  </sheetViews>
  <sheetFormatPr defaultRowHeight="21.95" customHeight="1" x14ac:dyDescent="0.2"/>
  <cols>
    <col min="1" max="1" width="9.140625" style="316" customWidth="1"/>
    <col min="2" max="2" width="21.42578125" style="178" bestFit="1" customWidth="1"/>
    <col min="3" max="3" width="25.42578125" style="178" customWidth="1"/>
    <col min="4" max="4" width="28.140625" style="179" customWidth="1"/>
    <col min="5" max="5" width="19.7109375" style="178" customWidth="1"/>
    <col min="6" max="6" width="15.7109375" style="178" bestFit="1" customWidth="1"/>
    <col min="7" max="7" width="19.5703125" style="178" customWidth="1"/>
    <col min="8" max="8" width="13.140625" style="178" customWidth="1"/>
    <col min="9" max="9" width="14" style="178" bestFit="1" customWidth="1"/>
    <col min="10" max="10" width="19.5703125" style="178" customWidth="1"/>
    <col min="11" max="11" width="16" style="178" bestFit="1" customWidth="1"/>
    <col min="12" max="12" width="15.42578125" style="178" customWidth="1"/>
    <col min="13" max="13" width="13.85546875" style="178" customWidth="1"/>
    <col min="14" max="14" width="20.85546875" style="178" customWidth="1"/>
    <col min="15" max="15" width="16.85546875" style="178" customWidth="1"/>
    <col min="16" max="16" width="18.28515625" style="178" customWidth="1"/>
    <col min="17" max="17" width="13.42578125" style="178" customWidth="1"/>
    <col min="18" max="18" width="15.7109375" style="178" customWidth="1"/>
    <col min="19" max="19" width="15.7109375" style="178" bestFit="1" customWidth="1"/>
    <col min="20" max="20" width="10" style="316" bestFit="1" customWidth="1"/>
    <col min="21" max="16384" width="9.140625" style="177"/>
  </cols>
  <sheetData>
    <row r="1" spans="1:20" s="174" customFormat="1" ht="21.95" customHeight="1" x14ac:dyDescent="0.2">
      <c r="B1" s="175"/>
      <c r="C1" s="175"/>
      <c r="D1" s="176"/>
      <c r="E1" s="405" t="s">
        <v>401</v>
      </c>
      <c r="F1" s="405"/>
      <c r="G1" s="405"/>
      <c r="H1" s="405"/>
      <c r="I1" s="405"/>
      <c r="J1" s="405"/>
      <c r="K1" s="405"/>
      <c r="L1" s="405"/>
      <c r="M1" s="405"/>
      <c r="N1" s="405"/>
      <c r="O1" s="175"/>
      <c r="P1" s="175"/>
      <c r="Q1" s="175"/>
      <c r="R1" s="175"/>
      <c r="S1" s="175"/>
    </row>
    <row r="2" spans="1:20" ht="21.95" customHeight="1" thickBot="1" x14ac:dyDescent="0.25"/>
    <row r="3" spans="1:20" ht="21.95" customHeight="1" thickBot="1" x14ac:dyDescent="0.25">
      <c r="A3" s="409" t="s">
        <v>411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1"/>
    </row>
    <row r="4" spans="1:20" s="180" customFormat="1" ht="51" customHeight="1" x14ac:dyDescent="0.2">
      <c r="A4" s="319" t="s">
        <v>303</v>
      </c>
      <c r="B4" s="309" t="s">
        <v>197</v>
      </c>
      <c r="C4" s="309" t="s">
        <v>1</v>
      </c>
      <c r="D4" s="309" t="s">
        <v>2</v>
      </c>
      <c r="E4" s="320" t="s">
        <v>5</v>
      </c>
      <c r="F4" s="362" t="s">
        <v>6</v>
      </c>
      <c r="G4" s="321" t="s">
        <v>381</v>
      </c>
      <c r="H4" s="309" t="s">
        <v>8</v>
      </c>
      <c r="I4" s="309" t="s">
        <v>255</v>
      </c>
      <c r="J4" s="309" t="s">
        <v>193</v>
      </c>
      <c r="K4" s="309" t="s">
        <v>91</v>
      </c>
      <c r="L4" s="309" t="s">
        <v>13</v>
      </c>
      <c r="M4" s="320" t="s">
        <v>14</v>
      </c>
      <c r="N4" s="309" t="s">
        <v>191</v>
      </c>
      <c r="O4" s="309" t="s">
        <v>194</v>
      </c>
      <c r="P4" s="309" t="s">
        <v>169</v>
      </c>
      <c r="Q4" s="309" t="s">
        <v>16</v>
      </c>
      <c r="R4" s="309" t="s">
        <v>17</v>
      </c>
      <c r="S4" s="322" t="s">
        <v>18</v>
      </c>
      <c r="T4" s="316"/>
    </row>
    <row r="5" spans="1:20" ht="27.75" customHeight="1" x14ac:dyDescent="0.2">
      <c r="A5" s="312">
        <v>1</v>
      </c>
      <c r="B5" s="271" t="s">
        <v>198</v>
      </c>
      <c r="C5" s="181" t="s">
        <v>257</v>
      </c>
      <c r="D5" s="181" t="s">
        <v>187</v>
      </c>
      <c r="E5" s="351" t="s">
        <v>170</v>
      </c>
      <c r="F5" s="357">
        <v>182700</v>
      </c>
      <c r="G5" s="359">
        <f>ROUND(F5*60%,0)</f>
        <v>109620</v>
      </c>
      <c r="H5" s="359">
        <v>0</v>
      </c>
      <c r="I5" s="359">
        <v>0</v>
      </c>
      <c r="J5" s="359">
        <f>ROUND(SUM(F5+G5)*0.14,0)</f>
        <v>40925</v>
      </c>
      <c r="K5" s="359">
        <f t="shared" ref="K5:K9" si="0">SUM(F5:J5)</f>
        <v>333245</v>
      </c>
      <c r="L5" s="359">
        <v>200</v>
      </c>
      <c r="M5" s="359">
        <v>60000</v>
      </c>
      <c r="N5" s="359">
        <f>ROUND(SUM(F5+G5)*0.1,0)</f>
        <v>29232</v>
      </c>
      <c r="O5" s="359">
        <f>+J5</f>
        <v>40925</v>
      </c>
      <c r="P5" s="359">
        <v>1000</v>
      </c>
      <c r="Q5" s="359">
        <v>0</v>
      </c>
      <c r="R5" s="359">
        <f t="shared" ref="R5:R11" si="1">SUM(L5:Q5)</f>
        <v>131357</v>
      </c>
      <c r="S5" s="360">
        <f t="shared" ref="S5:S11" si="2">+K5-R5</f>
        <v>201888</v>
      </c>
    </row>
    <row r="6" spans="1:20" ht="27.75" customHeight="1" x14ac:dyDescent="0.2">
      <c r="A6" s="312">
        <v>2</v>
      </c>
      <c r="B6" s="271" t="s">
        <v>199</v>
      </c>
      <c r="C6" s="181" t="s">
        <v>51</v>
      </c>
      <c r="D6" s="181" t="s">
        <v>266</v>
      </c>
      <c r="E6" s="351" t="s">
        <v>267</v>
      </c>
      <c r="F6" s="359">
        <v>130600</v>
      </c>
      <c r="G6" s="359">
        <f>ROUND(F6*60%,0)</f>
        <v>78360</v>
      </c>
      <c r="H6" s="359">
        <f>3600*160%</f>
        <v>5760</v>
      </c>
      <c r="I6" s="359">
        <f>ROUND(F6*20/100,0)</f>
        <v>26120</v>
      </c>
      <c r="J6" s="359">
        <f>ROUND(SUM(F6+G6)*0.14,0)</f>
        <v>29254</v>
      </c>
      <c r="K6" s="359">
        <f t="shared" si="0"/>
        <v>270094</v>
      </c>
      <c r="L6" s="359">
        <v>200</v>
      </c>
      <c r="M6" s="359">
        <v>35000</v>
      </c>
      <c r="N6" s="359">
        <f>ROUND(SUM(F6+G6)*0.1,0)</f>
        <v>20896</v>
      </c>
      <c r="O6" s="359">
        <f t="shared" ref="O6:O7" si="3">+J6</f>
        <v>29254</v>
      </c>
      <c r="P6" s="359">
        <v>1000</v>
      </c>
      <c r="Q6" s="359">
        <v>0</v>
      </c>
      <c r="R6" s="359">
        <f t="shared" si="1"/>
        <v>86350</v>
      </c>
      <c r="S6" s="360">
        <f t="shared" si="2"/>
        <v>183744</v>
      </c>
      <c r="T6" s="363"/>
    </row>
    <row r="7" spans="1:20" ht="27.75" customHeight="1" x14ac:dyDescent="0.2">
      <c r="A7" s="312">
        <v>3</v>
      </c>
      <c r="B7" s="271" t="s">
        <v>354</v>
      </c>
      <c r="C7" s="330" t="s">
        <v>352</v>
      </c>
      <c r="D7" s="330" t="s">
        <v>353</v>
      </c>
      <c r="E7" s="351" t="s">
        <v>267</v>
      </c>
      <c r="F7" s="359">
        <v>119500</v>
      </c>
      <c r="G7" s="359">
        <f>+ROUND(155900*0.6,0)</f>
        <v>93540</v>
      </c>
      <c r="H7" s="359">
        <f>3600*160%</f>
        <v>5760</v>
      </c>
      <c r="I7" s="359">
        <f>+ROUND(155900*0.2,0)</f>
        <v>31180</v>
      </c>
      <c r="J7" s="359">
        <f>+ROUND(SUM(F7+G7)*0.14,0)</f>
        <v>29826</v>
      </c>
      <c r="K7" s="359">
        <f t="shared" si="0"/>
        <v>279806</v>
      </c>
      <c r="L7" s="359">
        <v>200</v>
      </c>
      <c r="M7" s="359">
        <v>50000</v>
      </c>
      <c r="N7" s="359">
        <f>+ROUND(SUM(F7+G7)*0.1,0)</f>
        <v>21304</v>
      </c>
      <c r="O7" s="359">
        <f t="shared" si="3"/>
        <v>29826</v>
      </c>
      <c r="P7" s="359">
        <v>1000</v>
      </c>
      <c r="Q7" s="359">
        <v>0</v>
      </c>
      <c r="R7" s="359">
        <f t="shared" si="1"/>
        <v>102330</v>
      </c>
      <c r="S7" s="360">
        <f t="shared" si="2"/>
        <v>177476</v>
      </c>
    </row>
    <row r="8" spans="1:20" ht="41.25" customHeight="1" x14ac:dyDescent="0.2">
      <c r="A8" s="312">
        <v>4</v>
      </c>
      <c r="B8" s="329" t="s">
        <v>397</v>
      </c>
      <c r="C8" s="330" t="s">
        <v>406</v>
      </c>
      <c r="D8" s="330" t="s">
        <v>398</v>
      </c>
      <c r="E8" s="181" t="s">
        <v>22</v>
      </c>
      <c r="F8" s="359">
        <v>83600</v>
      </c>
      <c r="G8" s="359">
        <f>ROUND(F8*60%,0)</f>
        <v>50160</v>
      </c>
      <c r="H8" s="359">
        <f t="shared" ref="H8:H13" si="4">3600*160%</f>
        <v>5760</v>
      </c>
      <c r="I8" s="359">
        <f>ROUND(F8*20/100,0)</f>
        <v>16720</v>
      </c>
      <c r="J8" s="359">
        <f>ROUND(SUM(F8+G8)*0.14,0)</f>
        <v>18726</v>
      </c>
      <c r="K8" s="359">
        <f t="shared" si="0"/>
        <v>174966</v>
      </c>
      <c r="L8" s="359">
        <v>200</v>
      </c>
      <c r="M8" s="359">
        <v>10000</v>
      </c>
      <c r="N8" s="359">
        <f>ROUND(SUM(F8+G8)*0.1,0)</f>
        <v>13376</v>
      </c>
      <c r="O8" s="359">
        <f t="shared" ref="O8" si="5">+J8</f>
        <v>18726</v>
      </c>
      <c r="P8" s="359">
        <v>1000</v>
      </c>
      <c r="Q8" s="359">
        <v>0</v>
      </c>
      <c r="R8" s="359">
        <f t="shared" ref="R8" si="6">SUM(L8:Q8)</f>
        <v>43302</v>
      </c>
      <c r="S8" s="360">
        <f t="shared" ref="S8" si="7">+K8-R8</f>
        <v>131664</v>
      </c>
    </row>
    <row r="9" spans="1:20" ht="27.75" customHeight="1" x14ac:dyDescent="0.2">
      <c r="A9" s="312">
        <v>5</v>
      </c>
      <c r="B9" s="271" t="s">
        <v>242</v>
      </c>
      <c r="C9" s="330" t="s">
        <v>181</v>
      </c>
      <c r="D9" s="330" t="s">
        <v>189</v>
      </c>
      <c r="E9" s="351" t="s">
        <v>173</v>
      </c>
      <c r="F9" s="359">
        <v>61300</v>
      </c>
      <c r="G9" s="359">
        <f t="shared" ref="G9:G11" si="8">ROUND(F9*60%,0)</f>
        <v>36780</v>
      </c>
      <c r="H9" s="359">
        <f t="shared" si="4"/>
        <v>5760</v>
      </c>
      <c r="I9" s="359">
        <f>ROUND(F9*20/100,0)</f>
        <v>12260</v>
      </c>
      <c r="J9" s="359">
        <f>ROUND(SUM(F9+G9)*0.14,0)</f>
        <v>13731</v>
      </c>
      <c r="K9" s="359">
        <f t="shared" si="0"/>
        <v>129831</v>
      </c>
      <c r="L9" s="359">
        <v>200</v>
      </c>
      <c r="M9" s="359">
        <v>0</v>
      </c>
      <c r="N9" s="359">
        <f>ROUND(SUM(F9+G9)*0.1,0)</f>
        <v>9808</v>
      </c>
      <c r="O9" s="359">
        <f>+J9</f>
        <v>13731</v>
      </c>
      <c r="P9" s="359">
        <v>650</v>
      </c>
      <c r="Q9" s="359">
        <v>0</v>
      </c>
      <c r="R9" s="359">
        <f t="shared" si="1"/>
        <v>24389</v>
      </c>
      <c r="S9" s="360">
        <f t="shared" si="2"/>
        <v>105442</v>
      </c>
    </row>
    <row r="10" spans="1:20" ht="27.75" customHeight="1" x14ac:dyDescent="0.2">
      <c r="A10" s="312">
        <v>6</v>
      </c>
      <c r="B10" s="271" t="s">
        <v>200</v>
      </c>
      <c r="C10" s="330" t="s">
        <v>72</v>
      </c>
      <c r="D10" s="330" t="s">
        <v>265</v>
      </c>
      <c r="E10" s="351" t="s">
        <v>173</v>
      </c>
      <c r="F10" s="359">
        <v>59500</v>
      </c>
      <c r="G10" s="359">
        <f t="shared" si="8"/>
        <v>35700</v>
      </c>
      <c r="H10" s="359">
        <f t="shared" si="4"/>
        <v>5760</v>
      </c>
      <c r="I10" s="359">
        <f t="shared" ref="I10:I11" si="9">ROUND(F10*20/100,0)</f>
        <v>11900</v>
      </c>
      <c r="J10" s="359">
        <f t="shared" ref="J10" si="10">ROUND(SUM(F10+G10)*0.14,0)</f>
        <v>13328</v>
      </c>
      <c r="K10" s="359">
        <f t="shared" ref="K10" si="11">SUM(F10:J10)</f>
        <v>126188</v>
      </c>
      <c r="L10" s="359">
        <v>200</v>
      </c>
      <c r="M10" s="359">
        <v>5000</v>
      </c>
      <c r="N10" s="359">
        <f t="shared" ref="N10" si="12">ROUND(SUM(F10+G10)*0.1,0)</f>
        <v>9520</v>
      </c>
      <c r="O10" s="359">
        <f t="shared" ref="O10" si="13">+J10</f>
        <v>13328</v>
      </c>
      <c r="P10" s="359">
        <v>650</v>
      </c>
      <c r="Q10" s="359">
        <v>0</v>
      </c>
      <c r="R10" s="359">
        <f t="shared" si="1"/>
        <v>28698</v>
      </c>
      <c r="S10" s="360">
        <f t="shared" si="2"/>
        <v>97490</v>
      </c>
    </row>
    <row r="11" spans="1:20" ht="27.75" customHeight="1" x14ac:dyDescent="0.2">
      <c r="A11" s="312">
        <v>7</v>
      </c>
      <c r="B11" s="271" t="s">
        <v>201</v>
      </c>
      <c r="C11" s="181" t="s">
        <v>29</v>
      </c>
      <c r="D11" s="181" t="s">
        <v>265</v>
      </c>
      <c r="E11" s="351" t="s">
        <v>173</v>
      </c>
      <c r="F11" s="359">
        <v>59500</v>
      </c>
      <c r="G11" s="359">
        <f t="shared" si="8"/>
        <v>35700</v>
      </c>
      <c r="H11" s="358">
        <f t="shared" si="4"/>
        <v>5760</v>
      </c>
      <c r="I11" s="359">
        <f t="shared" si="9"/>
        <v>11900</v>
      </c>
      <c r="J11" s="359">
        <f t="shared" ref="J11" si="14">ROUND(SUM(F11+G11)*0.14,0)</f>
        <v>13328</v>
      </c>
      <c r="K11" s="359">
        <f t="shared" ref="K11" si="15">SUM(F11:J11)</f>
        <v>126188</v>
      </c>
      <c r="L11" s="359">
        <v>200</v>
      </c>
      <c r="M11" s="359">
        <v>0</v>
      </c>
      <c r="N11" s="359">
        <f t="shared" ref="N11" si="16">ROUND(SUM(F11+G11)*0.1,0)</f>
        <v>9520</v>
      </c>
      <c r="O11" s="359">
        <f t="shared" ref="O11" si="17">+J11</f>
        <v>13328</v>
      </c>
      <c r="P11" s="359">
        <v>650</v>
      </c>
      <c r="Q11" s="359">
        <v>0</v>
      </c>
      <c r="R11" s="359">
        <f t="shared" si="1"/>
        <v>23698</v>
      </c>
      <c r="S11" s="360">
        <f t="shared" si="2"/>
        <v>102490</v>
      </c>
    </row>
    <row r="12" spans="1:20" s="180" customFormat="1" ht="27.75" customHeight="1" x14ac:dyDescent="0.2">
      <c r="A12" s="312">
        <v>8</v>
      </c>
      <c r="B12" s="313" t="s">
        <v>388</v>
      </c>
      <c r="C12" s="308" t="s">
        <v>395</v>
      </c>
      <c r="D12" s="308" t="s">
        <v>265</v>
      </c>
      <c r="E12" s="352" t="s">
        <v>173</v>
      </c>
      <c r="F12" s="358">
        <v>56100</v>
      </c>
      <c r="G12" s="358">
        <f t="shared" ref="G12" si="18">ROUND(F12*60%,0)</f>
        <v>33660</v>
      </c>
      <c r="H12" s="358">
        <f t="shared" si="4"/>
        <v>5760</v>
      </c>
      <c r="I12" s="358">
        <f t="shared" ref="I12" si="19">ROUND(F12*20/100,0)</f>
        <v>11220</v>
      </c>
      <c r="J12" s="358">
        <f t="shared" ref="J12" si="20">ROUND(SUM(F12+G12)*0.14,0)</f>
        <v>12566</v>
      </c>
      <c r="K12" s="358">
        <f t="shared" ref="K12" si="21">SUM(F12:J12)</f>
        <v>119306</v>
      </c>
      <c r="L12" s="358">
        <v>200</v>
      </c>
      <c r="M12" s="358">
        <v>0</v>
      </c>
      <c r="N12" s="358">
        <f t="shared" ref="N12:N13" si="22">ROUND(SUM(F12+G12)*0.1,0)</f>
        <v>8976</v>
      </c>
      <c r="O12" s="358">
        <f t="shared" ref="O12" si="23">+J12</f>
        <v>12566</v>
      </c>
      <c r="P12" s="358">
        <v>650</v>
      </c>
      <c r="Q12" s="358">
        <v>0</v>
      </c>
      <c r="R12" s="358">
        <f t="shared" ref="R12" si="24">SUM(L12:Q12)</f>
        <v>22392</v>
      </c>
      <c r="S12" s="361">
        <f t="shared" ref="S12" si="25">+K12-R12</f>
        <v>96914</v>
      </c>
      <c r="T12" s="316"/>
    </row>
    <row r="13" spans="1:20" s="331" customFormat="1" ht="27.75" customHeight="1" x14ac:dyDescent="0.25">
      <c r="A13" s="312">
        <v>9</v>
      </c>
      <c r="B13" s="271" t="s">
        <v>391</v>
      </c>
      <c r="C13" s="330" t="s">
        <v>394</v>
      </c>
      <c r="D13" s="330" t="s">
        <v>265</v>
      </c>
      <c r="E13" s="351" t="s">
        <v>173</v>
      </c>
      <c r="F13" s="359">
        <v>65000</v>
      </c>
      <c r="G13" s="359">
        <f t="shared" ref="G13" si="26">ROUND(F13*60%,0)</f>
        <v>39000</v>
      </c>
      <c r="H13" s="359">
        <f t="shared" si="4"/>
        <v>5760</v>
      </c>
      <c r="I13" s="359">
        <f t="shared" ref="I13" si="27">ROUND(F13*20/100,0)</f>
        <v>13000</v>
      </c>
      <c r="J13" s="359">
        <f t="shared" ref="J13" si="28">ROUND(SUM(F13+G13)*0.14,0)</f>
        <v>14560</v>
      </c>
      <c r="K13" s="359">
        <f t="shared" ref="K13" si="29">SUM(F13:J13)</f>
        <v>137320</v>
      </c>
      <c r="L13" s="359">
        <v>200</v>
      </c>
      <c r="M13" s="359">
        <v>0</v>
      </c>
      <c r="N13" s="359">
        <f t="shared" si="22"/>
        <v>10400</v>
      </c>
      <c r="O13" s="359">
        <f t="shared" ref="O13" si="30">+J13</f>
        <v>14560</v>
      </c>
      <c r="P13" s="359">
        <v>650</v>
      </c>
      <c r="Q13" s="359">
        <v>0</v>
      </c>
      <c r="R13" s="359">
        <f t="shared" ref="R13" si="31">SUM(L13:Q13)</f>
        <v>25810</v>
      </c>
      <c r="S13" s="360">
        <f t="shared" ref="S13" si="32">+K13-R13</f>
        <v>111510</v>
      </c>
      <c r="T13" s="174"/>
    </row>
    <row r="14" spans="1:20" ht="27.75" customHeight="1" x14ac:dyDescent="0.2">
      <c r="A14" s="312">
        <v>10</v>
      </c>
      <c r="B14" s="271" t="s">
        <v>203</v>
      </c>
      <c r="C14" s="181" t="s">
        <v>33</v>
      </c>
      <c r="D14" s="181" t="s">
        <v>188</v>
      </c>
      <c r="E14" s="351" t="s">
        <v>26</v>
      </c>
      <c r="F14" s="359">
        <v>49000</v>
      </c>
      <c r="G14" s="359">
        <f t="shared" ref="G14:G24" si="33">ROUND(F14*60%,0)</f>
        <v>29400</v>
      </c>
      <c r="H14" s="359">
        <f>1800*160%</f>
        <v>2880</v>
      </c>
      <c r="I14" s="359">
        <f t="shared" ref="I14:I24" si="34">ROUND(F14*20/100,0)</f>
        <v>9800</v>
      </c>
      <c r="J14" s="359">
        <f t="shared" ref="J14:J24" si="35">ROUND(SUM(F14+G14)*0.14,0)</f>
        <v>10976</v>
      </c>
      <c r="K14" s="359">
        <f>SUM(F14:J14)</f>
        <v>102056</v>
      </c>
      <c r="L14" s="359">
        <v>200</v>
      </c>
      <c r="M14" s="359">
        <v>0</v>
      </c>
      <c r="N14" s="359">
        <f>ROUND(SUM(F14+G14)*0.1,0)</f>
        <v>7840</v>
      </c>
      <c r="O14" s="359">
        <f>+J14</f>
        <v>10976</v>
      </c>
      <c r="P14" s="359">
        <v>650</v>
      </c>
      <c r="Q14" s="359">
        <v>0</v>
      </c>
      <c r="R14" s="359">
        <f t="shared" ref="R14:R24" si="36">SUM(L14:Q14)</f>
        <v>19666</v>
      </c>
      <c r="S14" s="360">
        <f t="shared" ref="S14:S24" si="37">+K14-R14</f>
        <v>82390</v>
      </c>
      <c r="T14" s="333"/>
    </row>
    <row r="15" spans="1:20" ht="27.75" customHeight="1" x14ac:dyDescent="0.2">
      <c r="A15" s="312">
        <v>11</v>
      </c>
      <c r="B15" s="271" t="s">
        <v>204</v>
      </c>
      <c r="C15" s="181" t="s">
        <v>174</v>
      </c>
      <c r="D15" s="181" t="s">
        <v>188</v>
      </c>
      <c r="E15" s="351" t="s">
        <v>26</v>
      </c>
      <c r="F15" s="359">
        <v>49000</v>
      </c>
      <c r="G15" s="359">
        <f t="shared" si="33"/>
        <v>29400</v>
      </c>
      <c r="H15" s="359">
        <f t="shared" ref="H15:H24" si="38">1800*160%</f>
        <v>2880</v>
      </c>
      <c r="I15" s="359">
        <f t="shared" si="34"/>
        <v>9800</v>
      </c>
      <c r="J15" s="359">
        <f t="shared" si="35"/>
        <v>10976</v>
      </c>
      <c r="K15" s="359">
        <f>SUM(F15:J15)</f>
        <v>102056</v>
      </c>
      <c r="L15" s="359">
        <v>200</v>
      </c>
      <c r="M15" s="359">
        <v>0</v>
      </c>
      <c r="N15" s="359">
        <f>ROUND(SUM(F15+G15)*0.1,0)</f>
        <v>7840</v>
      </c>
      <c r="O15" s="359">
        <f>+J15</f>
        <v>10976</v>
      </c>
      <c r="P15" s="359">
        <v>650</v>
      </c>
      <c r="Q15" s="359">
        <v>0</v>
      </c>
      <c r="R15" s="359">
        <f t="shared" si="36"/>
        <v>19666</v>
      </c>
      <c r="S15" s="360">
        <f t="shared" si="37"/>
        <v>82390</v>
      </c>
    </row>
    <row r="16" spans="1:20" ht="27.75" customHeight="1" x14ac:dyDescent="0.2">
      <c r="A16" s="312">
        <v>12</v>
      </c>
      <c r="B16" s="181" t="s">
        <v>202</v>
      </c>
      <c r="C16" s="334" t="s">
        <v>31</v>
      </c>
      <c r="D16" s="334" t="s">
        <v>270</v>
      </c>
      <c r="E16" s="351" t="s">
        <v>34</v>
      </c>
      <c r="F16" s="359">
        <v>37600</v>
      </c>
      <c r="G16" s="359">
        <f t="shared" si="33"/>
        <v>22560</v>
      </c>
      <c r="H16" s="359">
        <f t="shared" si="38"/>
        <v>2880</v>
      </c>
      <c r="I16" s="359">
        <f t="shared" si="34"/>
        <v>7520</v>
      </c>
      <c r="J16" s="359">
        <f t="shared" si="35"/>
        <v>8422</v>
      </c>
      <c r="K16" s="359">
        <f>SUM(F16:J16)</f>
        <v>78982</v>
      </c>
      <c r="L16" s="359">
        <v>200</v>
      </c>
      <c r="M16" s="359">
        <v>0</v>
      </c>
      <c r="N16" s="359">
        <f t="shared" ref="N16" si="39">ROUND(SUM(F16+G16)*0.1,0)</f>
        <v>6016</v>
      </c>
      <c r="O16" s="359">
        <f t="shared" ref="O16" si="40">+J16</f>
        <v>8422</v>
      </c>
      <c r="P16" s="359">
        <v>450</v>
      </c>
      <c r="Q16" s="359">
        <v>0</v>
      </c>
      <c r="R16" s="359">
        <f t="shared" si="36"/>
        <v>15088</v>
      </c>
      <c r="S16" s="360">
        <f t="shared" si="37"/>
        <v>63894</v>
      </c>
    </row>
    <row r="17" spans="1:21" ht="27.75" customHeight="1" x14ac:dyDescent="0.2">
      <c r="A17" s="312">
        <v>13</v>
      </c>
      <c r="B17" s="271" t="s">
        <v>208</v>
      </c>
      <c r="C17" s="181" t="s">
        <v>177</v>
      </c>
      <c r="D17" s="181" t="s">
        <v>297</v>
      </c>
      <c r="E17" s="351" t="s">
        <v>32</v>
      </c>
      <c r="F17" s="359">
        <v>30100</v>
      </c>
      <c r="G17" s="359">
        <f t="shared" si="33"/>
        <v>18060</v>
      </c>
      <c r="H17" s="359">
        <f t="shared" si="38"/>
        <v>2880</v>
      </c>
      <c r="I17" s="359">
        <f t="shared" si="34"/>
        <v>6020</v>
      </c>
      <c r="J17" s="359">
        <f t="shared" si="35"/>
        <v>6742</v>
      </c>
      <c r="K17" s="359">
        <f t="shared" ref="K17:K21" si="41">SUM(F17:J17)</f>
        <v>63802</v>
      </c>
      <c r="L17" s="359">
        <v>200</v>
      </c>
      <c r="M17" s="359">
        <v>0</v>
      </c>
      <c r="N17" s="359">
        <f t="shared" ref="N17:N24" si="42">ROUND(SUM(F17+G17)*0.1,0)</f>
        <v>4816</v>
      </c>
      <c r="O17" s="359">
        <f t="shared" ref="O17:O24" si="43">+J17</f>
        <v>6742</v>
      </c>
      <c r="P17" s="359">
        <v>250</v>
      </c>
      <c r="Q17" s="359">
        <v>0</v>
      </c>
      <c r="R17" s="359">
        <f t="shared" si="36"/>
        <v>12008</v>
      </c>
      <c r="S17" s="360">
        <f t="shared" si="37"/>
        <v>51794</v>
      </c>
    </row>
    <row r="18" spans="1:21" ht="27.75" customHeight="1" x14ac:dyDescent="0.2">
      <c r="A18" s="312">
        <v>14</v>
      </c>
      <c r="B18" s="271" t="s">
        <v>209</v>
      </c>
      <c r="C18" s="181" t="s">
        <v>178</v>
      </c>
      <c r="D18" s="181" t="s">
        <v>298</v>
      </c>
      <c r="E18" s="351" t="s">
        <v>32</v>
      </c>
      <c r="F18" s="359">
        <v>30100</v>
      </c>
      <c r="G18" s="359">
        <f t="shared" si="33"/>
        <v>18060</v>
      </c>
      <c r="H18" s="359">
        <f t="shared" si="38"/>
        <v>2880</v>
      </c>
      <c r="I18" s="359">
        <f t="shared" si="34"/>
        <v>6020</v>
      </c>
      <c r="J18" s="359">
        <f t="shared" si="35"/>
        <v>6742</v>
      </c>
      <c r="K18" s="359">
        <f t="shared" si="41"/>
        <v>63802</v>
      </c>
      <c r="L18" s="359">
        <v>200</v>
      </c>
      <c r="M18" s="359">
        <v>0</v>
      </c>
      <c r="N18" s="359">
        <f t="shared" si="42"/>
        <v>4816</v>
      </c>
      <c r="O18" s="359">
        <f t="shared" si="43"/>
        <v>6742</v>
      </c>
      <c r="P18" s="359">
        <v>250</v>
      </c>
      <c r="Q18" s="359">
        <v>0</v>
      </c>
      <c r="R18" s="359">
        <f t="shared" si="36"/>
        <v>12008</v>
      </c>
      <c r="S18" s="360">
        <f t="shared" si="37"/>
        <v>51794</v>
      </c>
      <c r="T18" s="333"/>
    </row>
    <row r="19" spans="1:21" ht="27.75" customHeight="1" x14ac:dyDescent="0.2">
      <c r="A19" s="312">
        <v>15</v>
      </c>
      <c r="B19" s="271" t="s">
        <v>210</v>
      </c>
      <c r="C19" s="181" t="s">
        <v>359</v>
      </c>
      <c r="D19" s="181" t="s">
        <v>297</v>
      </c>
      <c r="E19" s="351" t="s">
        <v>32</v>
      </c>
      <c r="F19" s="359">
        <v>30100</v>
      </c>
      <c r="G19" s="359">
        <f t="shared" si="33"/>
        <v>18060</v>
      </c>
      <c r="H19" s="359">
        <f t="shared" si="38"/>
        <v>2880</v>
      </c>
      <c r="I19" s="359">
        <f t="shared" si="34"/>
        <v>6020</v>
      </c>
      <c r="J19" s="359">
        <f t="shared" si="35"/>
        <v>6742</v>
      </c>
      <c r="K19" s="359">
        <f t="shared" si="41"/>
        <v>63802</v>
      </c>
      <c r="L19" s="359">
        <v>200</v>
      </c>
      <c r="M19" s="359">
        <v>0</v>
      </c>
      <c r="N19" s="359">
        <f t="shared" si="42"/>
        <v>4816</v>
      </c>
      <c r="O19" s="359">
        <f t="shared" si="43"/>
        <v>6742</v>
      </c>
      <c r="P19" s="359">
        <v>250</v>
      </c>
      <c r="Q19" s="359">
        <v>0</v>
      </c>
      <c r="R19" s="359">
        <f t="shared" si="36"/>
        <v>12008</v>
      </c>
      <c r="S19" s="360">
        <f t="shared" si="37"/>
        <v>51794</v>
      </c>
    </row>
    <row r="20" spans="1:21" ht="44.25" customHeight="1" x14ac:dyDescent="0.2">
      <c r="A20" s="312">
        <v>16</v>
      </c>
      <c r="B20" s="271" t="s">
        <v>211</v>
      </c>
      <c r="C20" s="181" t="s">
        <v>179</v>
      </c>
      <c r="D20" s="181" t="s">
        <v>297</v>
      </c>
      <c r="E20" s="351" t="s">
        <v>32</v>
      </c>
      <c r="F20" s="359">
        <v>30100</v>
      </c>
      <c r="G20" s="359">
        <f t="shared" si="33"/>
        <v>18060</v>
      </c>
      <c r="H20" s="359">
        <f t="shared" si="38"/>
        <v>2880</v>
      </c>
      <c r="I20" s="359">
        <f t="shared" si="34"/>
        <v>6020</v>
      </c>
      <c r="J20" s="359">
        <f t="shared" si="35"/>
        <v>6742</v>
      </c>
      <c r="K20" s="359">
        <f t="shared" si="41"/>
        <v>63802</v>
      </c>
      <c r="L20" s="359">
        <v>200</v>
      </c>
      <c r="M20" s="359">
        <v>0</v>
      </c>
      <c r="N20" s="359">
        <f t="shared" si="42"/>
        <v>4816</v>
      </c>
      <c r="O20" s="359">
        <f t="shared" si="43"/>
        <v>6742</v>
      </c>
      <c r="P20" s="359">
        <v>250</v>
      </c>
      <c r="Q20" s="359">
        <v>40</v>
      </c>
      <c r="R20" s="359">
        <f t="shared" si="36"/>
        <v>12048</v>
      </c>
      <c r="S20" s="360">
        <f t="shared" si="37"/>
        <v>51754</v>
      </c>
    </row>
    <row r="21" spans="1:21" ht="37.5" customHeight="1" x14ac:dyDescent="0.2">
      <c r="A21" s="312">
        <v>17</v>
      </c>
      <c r="B21" s="271" t="s">
        <v>212</v>
      </c>
      <c r="C21" s="181" t="s">
        <v>113</v>
      </c>
      <c r="D21" s="181" t="s">
        <v>297</v>
      </c>
      <c r="E21" s="351" t="s">
        <v>32</v>
      </c>
      <c r="F21" s="359">
        <v>30100</v>
      </c>
      <c r="G21" s="359">
        <f t="shared" si="33"/>
        <v>18060</v>
      </c>
      <c r="H21" s="359">
        <f t="shared" si="38"/>
        <v>2880</v>
      </c>
      <c r="I21" s="359">
        <f t="shared" si="34"/>
        <v>6020</v>
      </c>
      <c r="J21" s="359">
        <f t="shared" si="35"/>
        <v>6742</v>
      </c>
      <c r="K21" s="359">
        <f t="shared" si="41"/>
        <v>63802</v>
      </c>
      <c r="L21" s="359">
        <v>200</v>
      </c>
      <c r="M21" s="359">
        <v>0</v>
      </c>
      <c r="N21" s="359">
        <f t="shared" si="42"/>
        <v>4816</v>
      </c>
      <c r="O21" s="359">
        <f t="shared" si="43"/>
        <v>6742</v>
      </c>
      <c r="P21" s="359">
        <v>250</v>
      </c>
      <c r="Q21" s="359">
        <v>94</v>
      </c>
      <c r="R21" s="359">
        <f t="shared" si="36"/>
        <v>12102</v>
      </c>
      <c r="S21" s="360">
        <f t="shared" si="37"/>
        <v>51700</v>
      </c>
    </row>
    <row r="22" spans="1:21" ht="27.75" customHeight="1" x14ac:dyDescent="0.2">
      <c r="A22" s="312">
        <v>18</v>
      </c>
      <c r="B22" s="329" t="s">
        <v>213</v>
      </c>
      <c r="C22" s="330" t="s">
        <v>180</v>
      </c>
      <c r="D22" s="330" t="s">
        <v>298</v>
      </c>
      <c r="E22" s="351" t="s">
        <v>32</v>
      </c>
      <c r="F22" s="359">
        <v>30100</v>
      </c>
      <c r="G22" s="359">
        <f t="shared" si="33"/>
        <v>18060</v>
      </c>
      <c r="H22" s="359">
        <f t="shared" si="38"/>
        <v>2880</v>
      </c>
      <c r="I22" s="359">
        <f t="shared" si="34"/>
        <v>6020</v>
      </c>
      <c r="J22" s="359">
        <f t="shared" si="35"/>
        <v>6742</v>
      </c>
      <c r="K22" s="359">
        <f>SUM(F22:J22)</f>
        <v>63802</v>
      </c>
      <c r="L22" s="359">
        <v>200</v>
      </c>
      <c r="M22" s="359">
        <v>0</v>
      </c>
      <c r="N22" s="359">
        <f t="shared" si="42"/>
        <v>4816</v>
      </c>
      <c r="O22" s="359">
        <f t="shared" si="43"/>
        <v>6742</v>
      </c>
      <c r="P22" s="359">
        <v>250</v>
      </c>
      <c r="Q22" s="359">
        <v>0</v>
      </c>
      <c r="R22" s="359">
        <f t="shared" si="36"/>
        <v>12008</v>
      </c>
      <c r="S22" s="360">
        <f t="shared" si="37"/>
        <v>51794</v>
      </c>
    </row>
    <row r="23" spans="1:21" ht="27.75" customHeight="1" x14ac:dyDescent="0.2">
      <c r="A23" s="312">
        <v>19</v>
      </c>
      <c r="B23" s="271" t="s">
        <v>207</v>
      </c>
      <c r="C23" s="181" t="s">
        <v>176</v>
      </c>
      <c r="D23" s="181" t="s">
        <v>186</v>
      </c>
      <c r="E23" s="351" t="s">
        <v>171</v>
      </c>
      <c r="F23" s="359">
        <v>24500</v>
      </c>
      <c r="G23" s="359">
        <f t="shared" si="33"/>
        <v>14700</v>
      </c>
      <c r="H23" s="359">
        <f t="shared" si="38"/>
        <v>2880</v>
      </c>
      <c r="I23" s="359">
        <f t="shared" si="34"/>
        <v>4900</v>
      </c>
      <c r="J23" s="359">
        <f t="shared" si="35"/>
        <v>5488</v>
      </c>
      <c r="K23" s="359">
        <f>SUM(F23:J23)</f>
        <v>52468</v>
      </c>
      <c r="L23" s="359">
        <v>200</v>
      </c>
      <c r="M23" s="359">
        <v>0</v>
      </c>
      <c r="N23" s="359">
        <f t="shared" si="42"/>
        <v>3920</v>
      </c>
      <c r="O23" s="359">
        <f t="shared" si="43"/>
        <v>5488</v>
      </c>
      <c r="P23" s="359">
        <v>250</v>
      </c>
      <c r="Q23" s="359">
        <v>0</v>
      </c>
      <c r="R23" s="359">
        <f t="shared" si="36"/>
        <v>9858</v>
      </c>
      <c r="S23" s="360">
        <f t="shared" si="37"/>
        <v>42610</v>
      </c>
    </row>
    <row r="24" spans="1:21" ht="27.75" customHeight="1" x14ac:dyDescent="0.2">
      <c r="A24" s="312">
        <v>20</v>
      </c>
      <c r="B24" s="271" t="s">
        <v>206</v>
      </c>
      <c r="C24" s="181" t="s">
        <v>175</v>
      </c>
      <c r="D24" s="181" t="s">
        <v>186</v>
      </c>
      <c r="E24" s="351" t="s">
        <v>171</v>
      </c>
      <c r="F24" s="359">
        <v>24500</v>
      </c>
      <c r="G24" s="359">
        <f t="shared" si="33"/>
        <v>14700</v>
      </c>
      <c r="H24" s="359">
        <f t="shared" si="38"/>
        <v>2880</v>
      </c>
      <c r="I24" s="359">
        <f t="shared" si="34"/>
        <v>4900</v>
      </c>
      <c r="J24" s="359">
        <f t="shared" si="35"/>
        <v>5488</v>
      </c>
      <c r="K24" s="359">
        <f>SUM(F24:J24)</f>
        <v>52468</v>
      </c>
      <c r="L24" s="359">
        <v>200</v>
      </c>
      <c r="M24" s="359">
        <v>0</v>
      </c>
      <c r="N24" s="359">
        <f t="shared" si="42"/>
        <v>3920</v>
      </c>
      <c r="O24" s="359">
        <f t="shared" si="43"/>
        <v>5488</v>
      </c>
      <c r="P24" s="359">
        <v>250</v>
      </c>
      <c r="Q24" s="359">
        <v>80</v>
      </c>
      <c r="R24" s="359">
        <f t="shared" si="36"/>
        <v>9938</v>
      </c>
      <c r="S24" s="360">
        <f t="shared" si="37"/>
        <v>42530</v>
      </c>
    </row>
    <row r="25" spans="1:21" ht="21.95" customHeight="1" thickBot="1" x14ac:dyDescent="0.25">
      <c r="A25" s="406" t="s">
        <v>36</v>
      </c>
      <c r="B25" s="407"/>
      <c r="C25" s="407"/>
      <c r="D25" s="407"/>
      <c r="E25" s="408"/>
      <c r="F25" s="317">
        <f>+SUM(F5:F24)</f>
        <v>1183000</v>
      </c>
      <c r="G25" s="317">
        <f t="shared" ref="G25:R25" si="44">+SUM(G5:G24)</f>
        <v>731640</v>
      </c>
      <c r="H25" s="317">
        <f t="shared" si="44"/>
        <v>77760</v>
      </c>
      <c r="I25" s="317">
        <f t="shared" si="44"/>
        <v>207340</v>
      </c>
      <c r="J25" s="317">
        <f t="shared" si="44"/>
        <v>268046</v>
      </c>
      <c r="K25" s="317">
        <f t="shared" si="44"/>
        <v>2467786</v>
      </c>
      <c r="L25" s="317">
        <f>+SUM(L5:L24)</f>
        <v>4000</v>
      </c>
      <c r="M25" s="317">
        <f t="shared" si="44"/>
        <v>160000</v>
      </c>
      <c r="N25" s="317">
        <f t="shared" si="44"/>
        <v>191464</v>
      </c>
      <c r="O25" s="317">
        <f t="shared" si="44"/>
        <v>268046</v>
      </c>
      <c r="P25" s="317">
        <f t="shared" si="44"/>
        <v>11000</v>
      </c>
      <c r="Q25" s="317">
        <f t="shared" si="44"/>
        <v>214</v>
      </c>
      <c r="R25" s="317">
        <f t="shared" si="44"/>
        <v>634724</v>
      </c>
      <c r="S25" s="323">
        <f>+SUM(S5:S24)</f>
        <v>1833062</v>
      </c>
    </row>
    <row r="26" spans="1:21" ht="21.95" customHeight="1" x14ac:dyDescent="0.2">
      <c r="N26" s="178">
        <f>+'Faculty '!O38</f>
        <v>735552</v>
      </c>
      <c r="O26" s="178">
        <f>+'Faculty '!P38</f>
        <v>1029771</v>
      </c>
      <c r="Q26" s="324"/>
    </row>
    <row r="27" spans="1:21" ht="21.95" customHeight="1" x14ac:dyDescent="0.2">
      <c r="N27" s="324">
        <f>+N25+N26</f>
        <v>927016</v>
      </c>
      <c r="O27" s="324">
        <f>+O25+O26</f>
        <v>1297817</v>
      </c>
      <c r="Q27" s="175"/>
    </row>
    <row r="28" spans="1:21" ht="21.95" customHeight="1" x14ac:dyDescent="0.2">
      <c r="A28" s="175"/>
      <c r="B28" s="175"/>
      <c r="C28" s="176"/>
      <c r="D28" s="176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</row>
    <row r="29" spans="1:21" s="175" customFormat="1" ht="21.95" customHeight="1" x14ac:dyDescent="0.25">
      <c r="D29" s="176"/>
      <c r="E29" s="176"/>
      <c r="O29" s="298"/>
      <c r="R29" s="175" t="s">
        <v>246</v>
      </c>
      <c r="S29" s="298"/>
      <c r="U29" s="185"/>
    </row>
    <row r="30" spans="1:21" s="175" customFormat="1" ht="21.95" customHeight="1" x14ac:dyDescent="0.25">
      <c r="D30" s="176"/>
      <c r="E30" s="176"/>
      <c r="N30" s="298"/>
      <c r="U30" s="185"/>
    </row>
    <row r="31" spans="1:21" s="175" customFormat="1" ht="21.95" customHeight="1" x14ac:dyDescent="0.25">
      <c r="D31" s="176"/>
      <c r="E31" s="176"/>
      <c r="N31" s="298"/>
      <c r="U31" s="185"/>
    </row>
    <row r="32" spans="1:21" s="175" customFormat="1" ht="21.95" customHeight="1" x14ac:dyDescent="0.25">
      <c r="D32" s="176"/>
      <c r="E32" s="176"/>
      <c r="N32" s="298"/>
      <c r="U32" s="185"/>
    </row>
    <row r="33" spans="1:21" s="175" customFormat="1" ht="21.95" customHeight="1" x14ac:dyDescent="0.25">
      <c r="D33" s="176"/>
      <c r="E33" s="176"/>
      <c r="N33" s="298"/>
      <c r="U33" s="185"/>
    </row>
    <row r="34" spans="1:21" s="183" customFormat="1" ht="21.95" customHeight="1" x14ac:dyDescent="0.25">
      <c r="A34" s="318"/>
      <c r="B34" s="325" t="s">
        <v>87</v>
      </c>
      <c r="C34" s="318"/>
      <c r="D34" s="176"/>
      <c r="E34" s="175"/>
      <c r="F34" s="318"/>
      <c r="G34" s="325" t="s">
        <v>251</v>
      </c>
      <c r="H34" s="318"/>
      <c r="I34" s="175"/>
      <c r="J34" s="175"/>
      <c r="K34" s="326"/>
      <c r="L34" s="175" t="s">
        <v>251</v>
      </c>
      <c r="M34" s="175"/>
      <c r="N34" s="298"/>
      <c r="O34" s="175"/>
      <c r="P34" s="175"/>
      <c r="Q34" s="175"/>
      <c r="R34" s="175"/>
      <c r="S34" s="175"/>
      <c r="T34" s="175"/>
    </row>
    <row r="35" spans="1:21" s="175" customFormat="1" ht="31.5" customHeight="1" x14ac:dyDescent="0.25">
      <c r="A35" s="318"/>
      <c r="B35" s="325" t="s">
        <v>299</v>
      </c>
      <c r="C35" s="318"/>
      <c r="D35" s="176"/>
      <c r="F35" s="318"/>
      <c r="G35" s="325" t="s">
        <v>389</v>
      </c>
      <c r="H35" s="318"/>
      <c r="K35" s="326"/>
      <c r="L35" s="404" t="s">
        <v>396</v>
      </c>
      <c r="M35" s="404"/>
      <c r="N35" s="298"/>
      <c r="R35" s="175" t="s">
        <v>146</v>
      </c>
      <c r="U35" s="185"/>
    </row>
    <row r="36" spans="1:21" s="175" customFormat="1" ht="36" customHeight="1" x14ac:dyDescent="0.25">
      <c r="A36" s="318"/>
      <c r="B36" s="327" t="s">
        <v>390</v>
      </c>
      <c r="C36" s="318"/>
      <c r="D36" s="176"/>
      <c r="F36" s="318"/>
      <c r="G36" s="327" t="str">
        <f>+'Faculty '!G50</f>
        <v>ASSISTANT REGISTRAR (F&amp;A)</v>
      </c>
      <c r="H36" s="318"/>
      <c r="K36" s="326"/>
      <c r="L36" s="404" t="s">
        <v>393</v>
      </c>
      <c r="M36" s="404"/>
      <c r="N36" s="298"/>
      <c r="R36" s="175" t="s">
        <v>182</v>
      </c>
      <c r="U36" s="185"/>
    </row>
    <row r="37" spans="1:21" s="175" customFormat="1" ht="21.95" customHeight="1" x14ac:dyDescent="0.25">
      <c r="D37" s="176"/>
      <c r="E37" s="176"/>
      <c r="N37" s="298"/>
      <c r="U37" s="185"/>
    </row>
    <row r="38" spans="1:21" s="175" customFormat="1" ht="21.95" customHeight="1" x14ac:dyDescent="0.25">
      <c r="D38" s="176"/>
      <c r="U38" s="185"/>
    </row>
    <row r="62" spans="1:19" s="174" customFormat="1" ht="21.95" customHeight="1" x14ac:dyDescent="0.2">
      <c r="A62" s="312">
        <v>7</v>
      </c>
      <c r="B62" s="313" t="s">
        <v>391</v>
      </c>
      <c r="C62" s="181" t="s">
        <v>387</v>
      </c>
      <c r="D62" s="181" t="s">
        <v>265</v>
      </c>
      <c r="E62" s="271" t="s">
        <v>173</v>
      </c>
      <c r="F62" s="313">
        <f>ROUND(56100*11/31,0)</f>
        <v>19906</v>
      </c>
      <c r="G62" s="313">
        <f>ROUND(F62*60%,0)</f>
        <v>11944</v>
      </c>
      <c r="H62" s="314">
        <f>ROUND(3600*160%*11/31,0)</f>
        <v>2044</v>
      </c>
      <c r="I62" s="313">
        <f>ROUND(F62*20/100,0)</f>
        <v>3981</v>
      </c>
      <c r="J62" s="314">
        <f>ROUND(SUM(F62+G62)*0.14,0)</f>
        <v>4459</v>
      </c>
      <c r="K62" s="314">
        <f>SUM(F62:J62)</f>
        <v>42334</v>
      </c>
      <c r="L62" s="314">
        <v>200</v>
      </c>
      <c r="M62" s="314">
        <v>0</v>
      </c>
      <c r="N62" s="313">
        <f>ROUND(SUM(F62+G62)*0.1,0)</f>
        <v>3185</v>
      </c>
      <c r="O62" s="314">
        <f>+J62</f>
        <v>4459</v>
      </c>
      <c r="P62" s="314">
        <v>650</v>
      </c>
      <c r="Q62" s="314">
        <v>0</v>
      </c>
      <c r="R62" s="314">
        <f>SUM(L62:Q62)</f>
        <v>8494</v>
      </c>
      <c r="S62" s="315">
        <f>+K62-R62</f>
        <v>33840</v>
      </c>
    </row>
  </sheetData>
  <mergeCells count="5">
    <mergeCell ref="L36:M36"/>
    <mergeCell ref="L35:M35"/>
    <mergeCell ref="E1:N1"/>
    <mergeCell ref="A25:E25"/>
    <mergeCell ref="A3:S3"/>
  </mergeCells>
  <conditionalFormatting sqref="C14:C24 C9">
    <cfRule type="duplicateValues" dxfId="25" priority="533"/>
  </conditionalFormatting>
  <conditionalFormatting sqref="A25 A3 C4:C8 C10:C11">
    <cfRule type="duplicateValues" dxfId="24" priority="542"/>
  </conditionalFormatting>
  <printOptions horizontalCentered="1"/>
  <pageMargins left="0" right="0" top="0" bottom="0" header="0" footer="0"/>
  <pageSetup paperSize="8" scale="6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fitToPage="1"/>
  </sheetPr>
  <dimension ref="A1:C52"/>
  <sheetViews>
    <sheetView tabSelected="1" zoomScaleNormal="100" workbookViewId="0">
      <selection activeCell="C3" sqref="C3"/>
    </sheetView>
  </sheetViews>
  <sheetFormatPr defaultRowHeight="15" x14ac:dyDescent="0.25"/>
  <cols>
    <col min="1" max="1" width="55.7109375" style="50" customWidth="1"/>
    <col min="2" max="2" width="47.5703125" style="50" customWidth="1"/>
    <col min="3" max="3" width="48.28515625" style="50" customWidth="1"/>
    <col min="4" max="16384" width="9.140625" style="50"/>
  </cols>
  <sheetData>
    <row r="1" spans="1:3" ht="15.75" thickBot="1" x14ac:dyDescent="0.3"/>
    <row r="2" spans="1:3" x14ac:dyDescent="0.25">
      <c r="A2" s="412" t="s">
        <v>412</v>
      </c>
      <c r="B2" s="413"/>
      <c r="C2" s="50" t="s">
        <v>414</v>
      </c>
    </row>
    <row r="3" spans="1:3" ht="15.75" x14ac:dyDescent="0.25">
      <c r="A3" s="263" t="s">
        <v>119</v>
      </c>
      <c r="B3" s="264" t="s">
        <v>125</v>
      </c>
    </row>
    <row r="4" spans="1:3" ht="15.75" x14ac:dyDescent="0.25">
      <c r="A4" s="119" t="s">
        <v>6</v>
      </c>
      <c r="B4" s="120">
        <v>225000</v>
      </c>
    </row>
    <row r="5" spans="1:3" ht="15.75" x14ac:dyDescent="0.25">
      <c r="A5" s="119" t="s">
        <v>382</v>
      </c>
      <c r="B5" s="120">
        <f>+B4*60/100</f>
        <v>135000</v>
      </c>
    </row>
    <row r="6" spans="1:3" ht="15.75" x14ac:dyDescent="0.25">
      <c r="A6" s="124" t="s">
        <v>91</v>
      </c>
      <c r="B6" s="121">
        <f>+B4+B5</f>
        <v>360000</v>
      </c>
    </row>
    <row r="7" spans="1:3" ht="15.75" x14ac:dyDescent="0.25">
      <c r="A7" s="122" t="s">
        <v>120</v>
      </c>
      <c r="B7" s="120"/>
    </row>
    <row r="8" spans="1:3" ht="15.75" x14ac:dyDescent="0.25">
      <c r="A8" s="119" t="s">
        <v>183</v>
      </c>
      <c r="B8" s="120">
        <v>700</v>
      </c>
    </row>
    <row r="9" spans="1:3" ht="15.75" x14ac:dyDescent="0.25">
      <c r="A9" s="119" t="s">
        <v>121</v>
      </c>
      <c r="B9" s="120">
        <v>90000</v>
      </c>
    </row>
    <row r="10" spans="1:3" ht="15.75" x14ac:dyDescent="0.25">
      <c r="A10" s="119" t="s">
        <v>126</v>
      </c>
      <c r="B10" s="120">
        <v>200</v>
      </c>
    </row>
    <row r="11" spans="1:3" ht="15.75" x14ac:dyDescent="0.25">
      <c r="A11" s="119" t="s">
        <v>129</v>
      </c>
      <c r="B11" s="120">
        <v>0</v>
      </c>
    </row>
    <row r="12" spans="1:3" ht="15.75" x14ac:dyDescent="0.25">
      <c r="A12" s="119" t="s">
        <v>195</v>
      </c>
      <c r="B12" s="120">
        <v>1000</v>
      </c>
    </row>
    <row r="13" spans="1:3" ht="15.75" x14ac:dyDescent="0.25">
      <c r="A13" s="145" t="s">
        <v>243</v>
      </c>
      <c r="B13" s="120">
        <v>0</v>
      </c>
    </row>
    <row r="14" spans="1:3" ht="15.75" x14ac:dyDescent="0.25">
      <c r="A14" s="119" t="s">
        <v>256</v>
      </c>
      <c r="B14" s="120">
        <v>0</v>
      </c>
    </row>
    <row r="15" spans="1:3" ht="15.75" x14ac:dyDescent="0.25">
      <c r="A15" s="123" t="s">
        <v>244</v>
      </c>
      <c r="B15" s="120"/>
    </row>
    <row r="16" spans="1:3" ht="15.75" x14ac:dyDescent="0.25">
      <c r="A16" s="119" t="s">
        <v>122</v>
      </c>
      <c r="B16" s="120">
        <v>9521</v>
      </c>
    </row>
    <row r="17" spans="1:3" ht="15.75" x14ac:dyDescent="0.25">
      <c r="A17" s="119" t="s">
        <v>123</v>
      </c>
      <c r="B17" s="120">
        <v>0</v>
      </c>
    </row>
    <row r="18" spans="1:3" ht="15.75" x14ac:dyDescent="0.25">
      <c r="A18" s="119" t="s">
        <v>259</v>
      </c>
      <c r="B18" s="120">
        <v>280</v>
      </c>
    </row>
    <row r="19" spans="1:3" ht="15.75" x14ac:dyDescent="0.25">
      <c r="A19" s="124" t="s">
        <v>378</v>
      </c>
      <c r="B19" s="121">
        <f>+SUM(B16:B18)</f>
        <v>9801</v>
      </c>
    </row>
    <row r="20" spans="1:3" ht="15.75" x14ac:dyDescent="0.25">
      <c r="A20" s="119" t="s">
        <v>245</v>
      </c>
      <c r="B20" s="120">
        <v>42000</v>
      </c>
    </row>
    <row r="21" spans="1:3" ht="15.75" x14ac:dyDescent="0.25">
      <c r="A21" s="119" t="s">
        <v>130</v>
      </c>
      <c r="B21" s="121">
        <f>+SUM(B8:B14)+B20+B19</f>
        <v>143701</v>
      </c>
    </row>
    <row r="22" spans="1:3" ht="16.5" thickBot="1" x14ac:dyDescent="0.3">
      <c r="A22" s="125" t="s">
        <v>190</v>
      </c>
      <c r="B22" s="126">
        <f>+B6-B21</f>
        <v>216299</v>
      </c>
      <c r="C22" s="115"/>
    </row>
    <row r="23" spans="1:3" ht="15.75" x14ac:dyDescent="0.25">
      <c r="A23" s="127"/>
      <c r="B23" s="127"/>
    </row>
    <row r="24" spans="1:3" ht="33.75" customHeight="1" x14ac:dyDescent="0.25">
      <c r="A24" s="414" t="s">
        <v>261</v>
      </c>
      <c r="B24" s="414"/>
    </row>
    <row r="25" spans="1:3" ht="30" customHeight="1" x14ac:dyDescent="0.25">
      <c r="A25" s="415" t="s">
        <v>300</v>
      </c>
      <c r="B25" s="415"/>
    </row>
    <row r="26" spans="1:3" ht="15.75" x14ac:dyDescent="0.25">
      <c r="A26" s="416"/>
      <c r="B26" s="416"/>
    </row>
    <row r="27" spans="1:3" ht="15.75" x14ac:dyDescent="0.25">
      <c r="A27" s="140"/>
      <c r="B27" s="141"/>
    </row>
    <row r="28" spans="1:3" ht="15.75" x14ac:dyDescent="0.25">
      <c r="A28" s="140"/>
      <c r="B28" s="141"/>
    </row>
    <row r="29" spans="1:3" ht="15.75" x14ac:dyDescent="0.25">
      <c r="A29" s="140"/>
      <c r="B29" s="141"/>
    </row>
    <row r="30" spans="1:3" ht="15.75" x14ac:dyDescent="0.25">
      <c r="A30" s="140"/>
      <c r="B30" s="141"/>
    </row>
    <row r="31" spans="1:3" ht="15.75" x14ac:dyDescent="0.25">
      <c r="A31" s="292" t="s">
        <v>87</v>
      </c>
      <c r="B31" s="183" t="s">
        <v>251</v>
      </c>
    </row>
    <row r="32" spans="1:3" x14ac:dyDescent="0.25">
      <c r="A32" s="183" t="s">
        <v>299</v>
      </c>
      <c r="B32" s="184" t="s">
        <v>389</v>
      </c>
    </row>
    <row r="33" spans="1:2" x14ac:dyDescent="0.25">
      <c r="A33" s="186" t="s">
        <v>392</v>
      </c>
      <c r="B33" s="300" t="str">
        <f>+Staff!G36</f>
        <v>ASSISTANT REGISTRAR (F&amp;A)</v>
      </c>
    </row>
    <row r="34" spans="1:2" ht="15.75" x14ac:dyDescent="0.25">
      <c r="A34" s="128"/>
      <c r="B34" s="127"/>
    </row>
    <row r="35" spans="1:2" ht="15.75" x14ac:dyDescent="0.25">
      <c r="A35" s="128"/>
      <c r="B35" s="127"/>
    </row>
    <row r="36" spans="1:2" ht="15.75" x14ac:dyDescent="0.25">
      <c r="A36" s="128"/>
      <c r="B36" s="127"/>
    </row>
    <row r="37" spans="1:2" ht="15.75" x14ac:dyDescent="0.25">
      <c r="A37" s="127"/>
      <c r="B37" s="127"/>
    </row>
    <row r="38" spans="1:2" ht="15.75" x14ac:dyDescent="0.25">
      <c r="A38" s="129" t="s">
        <v>251</v>
      </c>
      <c r="B38" s="127"/>
    </row>
    <row r="39" spans="1:2" ht="15.75" x14ac:dyDescent="0.25">
      <c r="A39" s="300" t="s">
        <v>396</v>
      </c>
      <c r="B39" s="127"/>
    </row>
    <row r="40" spans="1:2" ht="15.75" x14ac:dyDescent="0.25">
      <c r="A40" s="300" t="s">
        <v>393</v>
      </c>
      <c r="B40" s="127"/>
    </row>
    <row r="41" spans="1:2" ht="15.75" x14ac:dyDescent="0.25">
      <c r="A41" s="129"/>
      <c r="B41" s="127"/>
    </row>
    <row r="42" spans="1:2" ht="15.75" x14ac:dyDescent="0.25">
      <c r="A42" s="127"/>
      <c r="B42" s="127"/>
    </row>
    <row r="43" spans="1:2" ht="15.75" x14ac:dyDescent="0.25">
      <c r="A43" s="127"/>
      <c r="B43" s="127"/>
    </row>
    <row r="44" spans="1:2" ht="15.75" x14ac:dyDescent="0.25">
      <c r="A44" s="127" t="s">
        <v>196</v>
      </c>
      <c r="B44" s="127"/>
    </row>
    <row r="45" spans="1:2" ht="15.75" x14ac:dyDescent="0.25">
      <c r="A45" s="127"/>
      <c r="B45" s="127"/>
    </row>
    <row r="46" spans="1:2" ht="15.75" x14ac:dyDescent="0.25">
      <c r="A46" s="127"/>
      <c r="B46" s="127"/>
    </row>
    <row r="47" spans="1:2" ht="15.75" x14ac:dyDescent="0.25">
      <c r="A47" s="127"/>
      <c r="B47" s="127"/>
    </row>
    <row r="48" spans="1:2" ht="15.75" x14ac:dyDescent="0.25">
      <c r="A48" s="129"/>
      <c r="B48" s="127"/>
    </row>
    <row r="49" spans="1:2" ht="15.75" x14ac:dyDescent="0.25">
      <c r="A49" s="131" t="s">
        <v>146</v>
      </c>
      <c r="B49" s="127"/>
    </row>
    <row r="50" spans="1:2" ht="15.75" x14ac:dyDescent="0.25">
      <c r="A50" s="129" t="s">
        <v>148</v>
      </c>
      <c r="B50" s="127"/>
    </row>
    <row r="51" spans="1:2" x14ac:dyDescent="0.25">
      <c r="B51" s="49"/>
    </row>
    <row r="52" spans="1:2" x14ac:dyDescent="0.25">
      <c r="B52" s="49"/>
    </row>
  </sheetData>
  <mergeCells count="4">
    <mergeCell ref="A2:B2"/>
    <mergeCell ref="A24:B24"/>
    <mergeCell ref="A25:B25"/>
    <mergeCell ref="A26:B26"/>
  </mergeCells>
  <pageMargins left="0.7" right="0.7" top="0.75" bottom="0.75" header="0.3" footer="0.3"/>
  <pageSetup paperSize="9" scale="8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4C03-BAE0-4F62-8098-7C8D225E2913}">
  <sheetPr codeName="Sheet17">
    <pageSetUpPr fitToPage="1"/>
  </sheetPr>
  <dimension ref="A1:B39"/>
  <sheetViews>
    <sheetView workbookViewId="0">
      <selection activeCell="C1" sqref="A1:C1048576"/>
    </sheetView>
  </sheetViews>
  <sheetFormatPr defaultRowHeight="15" x14ac:dyDescent="0.2"/>
  <cols>
    <col min="1" max="1" width="62.42578125" style="127" customWidth="1"/>
    <col min="2" max="2" width="36" style="127" customWidth="1"/>
    <col min="3" max="16384" width="9.140625" style="127"/>
  </cols>
  <sheetData>
    <row r="1" spans="1:2" x14ac:dyDescent="0.2">
      <c r="A1" s="417" t="s">
        <v>367</v>
      </c>
      <c r="B1" s="418"/>
    </row>
    <row r="2" spans="1:2" x14ac:dyDescent="0.2">
      <c r="A2" s="419"/>
      <c r="B2" s="420"/>
    </row>
    <row r="3" spans="1:2" x14ac:dyDescent="0.2">
      <c r="A3" s="124" t="s">
        <v>159</v>
      </c>
      <c r="B3" s="267" t="s">
        <v>366</v>
      </c>
    </row>
    <row r="4" spans="1:2" x14ac:dyDescent="0.2">
      <c r="A4" s="119" t="s">
        <v>368</v>
      </c>
      <c r="B4" s="268">
        <f>ROUND(151400*2/28,0)</f>
        <v>10814</v>
      </c>
    </row>
    <row r="5" spans="1:2" x14ac:dyDescent="0.2">
      <c r="A5" s="119" t="s">
        <v>369</v>
      </c>
      <c r="B5" s="268">
        <f>ROUND(B4*42/100,0)</f>
        <v>4542</v>
      </c>
    </row>
    <row r="6" spans="1:2" x14ac:dyDescent="0.2">
      <c r="A6" s="119" t="s">
        <v>370</v>
      </c>
      <c r="B6" s="268">
        <f>ROUND(B4*18/100,0)</f>
        <v>1947</v>
      </c>
    </row>
    <row r="7" spans="1:2" x14ac:dyDescent="0.2">
      <c r="A7" s="119" t="s">
        <v>318</v>
      </c>
      <c r="B7" s="268">
        <v>0</v>
      </c>
    </row>
    <row r="8" spans="1:2" x14ac:dyDescent="0.2">
      <c r="A8" s="119" t="s">
        <v>194</v>
      </c>
      <c r="B8" s="268">
        <f>+ROUND(SUM(B4:B5)*14/100,0)</f>
        <v>2150</v>
      </c>
    </row>
    <row r="9" spans="1:2" x14ac:dyDescent="0.2">
      <c r="A9" s="124" t="s">
        <v>364</v>
      </c>
      <c r="B9" s="267">
        <f>+SUM(B4:B8)</f>
        <v>19453</v>
      </c>
    </row>
    <row r="10" spans="1:2" x14ac:dyDescent="0.2">
      <c r="A10" s="119" t="s">
        <v>365</v>
      </c>
      <c r="B10" s="268"/>
    </row>
    <row r="11" spans="1:2" x14ac:dyDescent="0.2">
      <c r="A11" s="119" t="s">
        <v>194</v>
      </c>
      <c r="B11" s="268">
        <f>+B8</f>
        <v>2150</v>
      </c>
    </row>
    <row r="12" spans="1:2" x14ac:dyDescent="0.2">
      <c r="A12" s="119" t="s">
        <v>191</v>
      </c>
      <c r="B12" s="268">
        <f>+ROUND(SUM(B4:B5)*10/100,0)</f>
        <v>1536</v>
      </c>
    </row>
    <row r="13" spans="1:2" ht="15.75" thickBot="1" x14ac:dyDescent="0.25">
      <c r="A13" s="269" t="s">
        <v>287</v>
      </c>
      <c r="B13" s="270">
        <f>+B9-B11-B12</f>
        <v>15767</v>
      </c>
    </row>
    <row r="20" spans="1:2" x14ac:dyDescent="0.2">
      <c r="A20" s="129" t="s">
        <v>87</v>
      </c>
      <c r="B20" s="146" t="s">
        <v>251</v>
      </c>
    </row>
    <row r="21" spans="1:2" x14ac:dyDescent="0.2">
      <c r="A21" s="131" t="s">
        <v>258</v>
      </c>
      <c r="B21" s="130" t="s">
        <v>301</v>
      </c>
    </row>
    <row r="22" spans="1:2" x14ac:dyDescent="0.2">
      <c r="A22" s="129" t="s">
        <v>268</v>
      </c>
      <c r="B22" s="132" t="s">
        <v>271</v>
      </c>
    </row>
    <row r="23" spans="1:2" x14ac:dyDescent="0.2">
      <c r="A23" s="128"/>
    </row>
    <row r="24" spans="1:2" x14ac:dyDescent="0.2">
      <c r="A24" s="128"/>
    </row>
    <row r="25" spans="1:2" x14ac:dyDescent="0.2">
      <c r="A25" s="128"/>
    </row>
    <row r="27" spans="1:2" x14ac:dyDescent="0.2">
      <c r="A27" s="129" t="s">
        <v>251</v>
      </c>
    </row>
    <row r="28" spans="1:2" x14ac:dyDescent="0.2">
      <c r="A28" s="129" t="s">
        <v>140</v>
      </c>
    </row>
    <row r="29" spans="1:2" x14ac:dyDescent="0.2">
      <c r="A29" s="129" t="s">
        <v>269</v>
      </c>
    </row>
    <row r="30" spans="1:2" x14ac:dyDescent="0.2">
      <c r="A30" s="129"/>
    </row>
    <row r="33" spans="1:1" x14ac:dyDescent="0.2">
      <c r="A33" s="127" t="s">
        <v>196</v>
      </c>
    </row>
    <row r="37" spans="1:1" x14ac:dyDescent="0.2">
      <c r="A37" s="129"/>
    </row>
    <row r="38" spans="1:1" x14ac:dyDescent="0.2">
      <c r="A38" s="131" t="s">
        <v>146</v>
      </c>
    </row>
    <row r="39" spans="1:1" x14ac:dyDescent="0.2">
      <c r="A39" s="129" t="s">
        <v>148</v>
      </c>
    </row>
  </sheetData>
  <mergeCells count="1">
    <mergeCell ref="A1:B2"/>
  </mergeCells>
  <hyperlinks>
    <hyperlink ref="A5" r:id="rId1" xr:uid="{54EF23B6-F82D-4A17-B45E-677D48D9C099}"/>
  </hyperlinks>
  <pageMargins left="0.7" right="0.7" top="0.75" bottom="0.75" header="0.3" footer="0.3"/>
  <pageSetup paperSize="9" scale="88" orientation="portrait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B41B-BAE0-4D0E-A93F-4E313089FC6D}">
  <sheetPr codeName="Sheet15">
    <pageSetUpPr fitToPage="1"/>
  </sheetPr>
  <dimension ref="A1:O49"/>
  <sheetViews>
    <sheetView workbookViewId="0">
      <selection activeCell="G25" sqref="G25"/>
    </sheetView>
  </sheetViews>
  <sheetFormatPr defaultRowHeight="15" x14ac:dyDescent="0.25"/>
  <cols>
    <col min="1" max="1" width="33.5703125" customWidth="1"/>
    <col min="2" max="2" width="20" customWidth="1"/>
    <col min="3" max="3" width="22.28515625" style="236" customWidth="1"/>
    <col min="4" max="4" width="22.5703125" customWidth="1"/>
    <col min="8" max="8" width="15.85546875" customWidth="1"/>
    <col min="9" max="9" width="10.7109375" bestFit="1" customWidth="1"/>
    <col min="10" max="10" width="14.85546875" customWidth="1"/>
    <col min="11" max="11" width="11.5703125" bestFit="1" customWidth="1"/>
    <col min="12" max="13" width="16" customWidth="1"/>
    <col min="14" max="14" width="15" customWidth="1"/>
  </cols>
  <sheetData>
    <row r="1" spans="1:15" ht="15.75" x14ac:dyDescent="0.25">
      <c r="A1" s="228" t="s">
        <v>337</v>
      </c>
    </row>
    <row r="2" spans="1:15" s="236" customFormat="1" ht="42.75" x14ac:dyDescent="0.25">
      <c r="A2" s="234" t="s">
        <v>326</v>
      </c>
      <c r="B2" s="234" t="s">
        <v>331</v>
      </c>
      <c r="C2" s="234" t="s">
        <v>332</v>
      </c>
      <c r="D2" s="234" t="s">
        <v>335</v>
      </c>
      <c r="E2" s="234" t="s">
        <v>327</v>
      </c>
      <c r="F2" s="234" t="s">
        <v>255</v>
      </c>
      <c r="G2" s="234" t="s">
        <v>318</v>
      </c>
      <c r="H2" s="234" t="s">
        <v>193</v>
      </c>
      <c r="I2" s="230" t="s">
        <v>333</v>
      </c>
      <c r="J2" s="230" t="s">
        <v>334</v>
      </c>
      <c r="K2" s="230" t="s">
        <v>321</v>
      </c>
      <c r="L2" s="230" t="s">
        <v>319</v>
      </c>
      <c r="M2" s="230" t="s">
        <v>336</v>
      </c>
      <c r="N2" s="230" t="s">
        <v>287</v>
      </c>
    </row>
    <row r="3" spans="1:15" ht="15.75" x14ac:dyDescent="0.25">
      <c r="A3" s="231">
        <v>45901</v>
      </c>
      <c r="B3" s="219">
        <v>26833</v>
      </c>
      <c r="C3" s="235">
        <f>ROUND(151400*7/30,0)</f>
        <v>35327</v>
      </c>
      <c r="D3" s="219">
        <f>+C3-B3</f>
        <v>8494</v>
      </c>
      <c r="E3" s="219">
        <f>ROUND(D3*58/100,0)</f>
        <v>4927</v>
      </c>
      <c r="F3" s="219">
        <f>ROUND(D3*20/100,0)</f>
        <v>1699</v>
      </c>
      <c r="G3" s="219">
        <f>ROUND(3600*3/100*7/30,0)</f>
        <v>25</v>
      </c>
      <c r="H3" s="182">
        <f>+E3*0.14</f>
        <v>689.78000000000009</v>
      </c>
      <c r="I3" s="232">
        <f>+SUM(E3:H3)</f>
        <v>7340.78</v>
      </c>
      <c r="J3" s="182">
        <f>+E3*0.1</f>
        <v>492.70000000000005</v>
      </c>
      <c r="K3" s="233">
        <f>+H3</f>
        <v>689.78000000000009</v>
      </c>
      <c r="L3" s="233">
        <v>0</v>
      </c>
      <c r="M3" s="233"/>
      <c r="N3" s="233">
        <f>+I3-J3-K3</f>
        <v>6158.3</v>
      </c>
    </row>
    <row r="4" spans="1:15" ht="15.75" x14ac:dyDescent="0.25">
      <c r="A4" s="231" t="s">
        <v>328</v>
      </c>
      <c r="B4" s="219">
        <v>26833</v>
      </c>
      <c r="C4" s="235">
        <v>0</v>
      </c>
      <c r="D4" s="219">
        <v>0</v>
      </c>
      <c r="E4" s="219">
        <f>ROUND(B4*3/100,0)</f>
        <v>805</v>
      </c>
      <c r="F4" s="219">
        <v>0</v>
      </c>
      <c r="G4" s="219">
        <v>0</v>
      </c>
      <c r="H4" s="182">
        <f>+SUM(D4:E4)*0.14</f>
        <v>112.70000000000002</v>
      </c>
      <c r="I4" s="232">
        <f t="shared" ref="I4" si="0">+E4+F4+H4</f>
        <v>917.7</v>
      </c>
      <c r="J4" s="182">
        <f t="shared" ref="J4" si="1">+SUM(D4:E4)*0.1</f>
        <v>80.5</v>
      </c>
      <c r="K4" s="233">
        <f t="shared" ref="K4:K5" si="2">+H4</f>
        <v>112.70000000000002</v>
      </c>
      <c r="L4" s="233">
        <v>0</v>
      </c>
      <c r="M4" s="233"/>
      <c r="N4" s="233">
        <f>+I4-J4-K4</f>
        <v>724.5</v>
      </c>
      <c r="O4" s="237"/>
    </row>
    <row r="5" spans="1:15" ht="15.75" x14ac:dyDescent="0.25">
      <c r="A5" s="231">
        <v>45931</v>
      </c>
      <c r="B5" s="219">
        <v>115000</v>
      </c>
      <c r="C5" s="235">
        <v>151400</v>
      </c>
      <c r="D5" s="219">
        <v>151400</v>
      </c>
      <c r="E5" s="219">
        <f>ROUND(D5*58/100,0)</f>
        <v>87812</v>
      </c>
      <c r="F5" s="219">
        <f>ROUND(D5*20/100,0)</f>
        <v>30280</v>
      </c>
      <c r="G5" s="219">
        <f>3600*158/100</f>
        <v>5688</v>
      </c>
      <c r="H5" s="182">
        <f>+SUM(B5+E5)*0.14</f>
        <v>28393.680000000004</v>
      </c>
      <c r="I5" s="232">
        <f>+SUM(E5:H5)+B5</f>
        <v>267173.68</v>
      </c>
      <c r="J5" s="182">
        <f>+SUM(B5+E5)*0.1</f>
        <v>20281.2</v>
      </c>
      <c r="K5" s="233">
        <f t="shared" si="2"/>
        <v>28393.680000000004</v>
      </c>
      <c r="L5" s="233">
        <v>200</v>
      </c>
      <c r="M5" s="233">
        <v>1000</v>
      </c>
      <c r="N5" s="233">
        <f>+I5-J5-K5-L5-M5</f>
        <v>217298.8</v>
      </c>
    </row>
    <row r="6" spans="1:15" ht="15.75" x14ac:dyDescent="0.25">
      <c r="A6" s="246"/>
      <c r="B6" s="247"/>
      <c r="C6" s="248"/>
      <c r="D6" s="247"/>
      <c r="E6" s="247"/>
      <c r="F6" s="247"/>
      <c r="G6" s="247"/>
      <c r="H6" s="249"/>
      <c r="I6" s="250"/>
      <c r="J6" s="249"/>
      <c r="K6" s="216"/>
      <c r="L6" s="216"/>
      <c r="M6" s="216"/>
      <c r="N6" s="216"/>
    </row>
    <row r="7" spans="1:15" ht="15.75" x14ac:dyDescent="0.25">
      <c r="A7" s="246"/>
      <c r="B7" s="247"/>
      <c r="C7" s="248"/>
      <c r="D7" s="247"/>
      <c r="E7" s="247"/>
      <c r="F7" s="247"/>
      <c r="G7" s="247"/>
      <c r="H7" s="249"/>
      <c r="I7" s="250"/>
      <c r="J7" s="249"/>
      <c r="K7" s="216"/>
      <c r="L7" s="216"/>
      <c r="M7" s="216"/>
      <c r="N7" s="216"/>
    </row>
    <row r="8" spans="1:15" ht="15.75" x14ac:dyDescent="0.25">
      <c r="A8" s="246"/>
      <c r="B8" s="247"/>
      <c r="C8" s="248"/>
      <c r="D8" s="247"/>
      <c r="E8" s="247"/>
      <c r="F8" s="247"/>
      <c r="G8" s="247"/>
      <c r="H8" s="249"/>
      <c r="I8" s="250"/>
      <c r="J8" s="249"/>
      <c r="K8" s="216"/>
      <c r="L8" s="216"/>
      <c r="M8" s="216"/>
      <c r="N8" s="216"/>
    </row>
    <row r="9" spans="1:15" ht="15.75" x14ac:dyDescent="0.25">
      <c r="N9" s="238">
        <f>+SUM(N3:N5)</f>
        <v>224181.59999999998</v>
      </c>
    </row>
    <row r="10" spans="1:15" ht="15.75" x14ac:dyDescent="0.25">
      <c r="A10" s="244" t="s">
        <v>345</v>
      </c>
      <c r="B10" s="127"/>
      <c r="C10" s="245"/>
      <c r="D10" s="127"/>
    </row>
    <row r="11" spans="1:15" ht="15.75" x14ac:dyDescent="0.25">
      <c r="A11" s="244" t="s">
        <v>346</v>
      </c>
      <c r="B11" s="127"/>
      <c r="C11" s="245"/>
      <c r="D11" s="127"/>
    </row>
    <row r="12" spans="1:15" ht="15.75" x14ac:dyDescent="0.25">
      <c r="A12" s="228" t="s">
        <v>347</v>
      </c>
      <c r="B12" s="127"/>
      <c r="C12" s="245"/>
      <c r="D12" s="127"/>
    </row>
    <row r="13" spans="1:15" ht="30" x14ac:dyDescent="0.25">
      <c r="A13" s="251" t="s">
        <v>119</v>
      </c>
      <c r="B13" s="252" t="s">
        <v>349</v>
      </c>
      <c r="C13" s="251" t="s">
        <v>328</v>
      </c>
      <c r="D13" s="252" t="s">
        <v>348</v>
      </c>
    </row>
    <row r="14" spans="1:15" x14ac:dyDescent="0.25">
      <c r="A14" s="242" t="s">
        <v>331</v>
      </c>
      <c r="B14" s="241">
        <v>26833</v>
      </c>
      <c r="C14" s="241">
        <v>26833</v>
      </c>
      <c r="D14" s="241">
        <v>115000</v>
      </c>
    </row>
    <row r="15" spans="1:15" x14ac:dyDescent="0.25">
      <c r="A15" s="242" t="s">
        <v>338</v>
      </c>
      <c r="B15" s="241">
        <v>35327</v>
      </c>
      <c r="C15" s="242">
        <v>0</v>
      </c>
      <c r="D15" s="241">
        <v>151400</v>
      </c>
    </row>
    <row r="16" spans="1:15" x14ac:dyDescent="0.25">
      <c r="A16" s="242" t="s">
        <v>335</v>
      </c>
      <c r="B16" s="241">
        <v>8494</v>
      </c>
      <c r="C16" s="242">
        <v>0</v>
      </c>
      <c r="D16" s="241">
        <v>151400</v>
      </c>
    </row>
    <row r="17" spans="1:6" x14ac:dyDescent="0.25">
      <c r="A17" s="242" t="s">
        <v>327</v>
      </c>
      <c r="B17" s="241">
        <v>4927</v>
      </c>
      <c r="C17" s="242">
        <v>805</v>
      </c>
      <c r="D17" s="241">
        <v>87812</v>
      </c>
    </row>
    <row r="18" spans="1:6" x14ac:dyDescent="0.25">
      <c r="A18" s="242" t="s">
        <v>339</v>
      </c>
      <c r="B18" s="241">
        <v>1699</v>
      </c>
      <c r="C18" s="242">
        <v>0</v>
      </c>
      <c r="D18" s="241">
        <v>30280</v>
      </c>
    </row>
    <row r="19" spans="1:6" x14ac:dyDescent="0.25">
      <c r="A19" s="242" t="s">
        <v>340</v>
      </c>
      <c r="B19" s="242">
        <v>25</v>
      </c>
      <c r="C19" s="242">
        <v>0</v>
      </c>
      <c r="D19" s="241">
        <v>5688</v>
      </c>
    </row>
    <row r="20" spans="1:6" x14ac:dyDescent="0.25">
      <c r="A20" s="242" t="s">
        <v>193</v>
      </c>
      <c r="B20" s="242">
        <v>690</v>
      </c>
      <c r="C20" s="242">
        <v>113</v>
      </c>
      <c r="D20" s="241">
        <v>28394</v>
      </c>
    </row>
    <row r="21" spans="1:6" x14ac:dyDescent="0.25">
      <c r="A21" s="242" t="s">
        <v>12</v>
      </c>
      <c r="B21" s="241">
        <v>7341</v>
      </c>
      <c r="C21" s="242">
        <v>918</v>
      </c>
      <c r="D21" s="241">
        <v>267174</v>
      </c>
    </row>
    <row r="22" spans="1:6" x14ac:dyDescent="0.25">
      <c r="A22" s="242" t="s">
        <v>341</v>
      </c>
      <c r="B22" s="242">
        <v>493</v>
      </c>
      <c r="C22" s="242">
        <v>81</v>
      </c>
      <c r="D22" s="241">
        <v>20281</v>
      </c>
    </row>
    <row r="23" spans="1:6" x14ac:dyDescent="0.25">
      <c r="A23" s="242" t="s">
        <v>319</v>
      </c>
      <c r="B23" s="242" t="s">
        <v>342</v>
      </c>
      <c r="C23" s="242" t="s">
        <v>342</v>
      </c>
      <c r="D23" s="242">
        <v>200</v>
      </c>
    </row>
    <row r="24" spans="1:6" x14ac:dyDescent="0.25">
      <c r="A24" s="242" t="s">
        <v>343</v>
      </c>
      <c r="B24" s="242" t="s">
        <v>342</v>
      </c>
      <c r="C24" s="242" t="s">
        <v>342</v>
      </c>
      <c r="D24" s="241">
        <v>1000</v>
      </c>
    </row>
    <row r="25" spans="1:6" x14ac:dyDescent="0.25">
      <c r="A25" s="240" t="s">
        <v>344</v>
      </c>
      <c r="B25" s="243">
        <v>6158</v>
      </c>
      <c r="C25" s="240">
        <v>725</v>
      </c>
      <c r="D25" s="243">
        <v>217299</v>
      </c>
      <c r="F25" s="239"/>
    </row>
    <row r="27" spans="1:6" x14ac:dyDescent="0.25">
      <c r="A27" s="253" t="s">
        <v>351</v>
      </c>
      <c r="B27" s="254">
        <f>+B25+C25+D25</f>
        <v>224182</v>
      </c>
    </row>
    <row r="30" spans="1:6" x14ac:dyDescent="0.25">
      <c r="A30" s="220" t="s">
        <v>87</v>
      </c>
      <c r="B30" s="221"/>
      <c r="C30"/>
      <c r="D30" s="222" t="s">
        <v>251</v>
      </c>
    </row>
    <row r="31" spans="1:6" x14ac:dyDescent="0.25">
      <c r="A31" s="223" t="s">
        <v>350</v>
      </c>
      <c r="B31" s="221"/>
      <c r="C31"/>
      <c r="D31" s="224" t="s">
        <v>301</v>
      </c>
    </row>
    <row r="32" spans="1:6" x14ac:dyDescent="0.25">
      <c r="A32" s="220" t="s">
        <v>268</v>
      </c>
      <c r="B32" s="221"/>
      <c r="C32"/>
      <c r="D32" s="225" t="s">
        <v>271</v>
      </c>
    </row>
    <row r="33" spans="1:5" x14ac:dyDescent="0.25">
      <c r="A33" s="226"/>
      <c r="B33" s="227"/>
      <c r="C33" s="221"/>
      <c r="D33" s="221"/>
      <c r="E33" s="221"/>
    </row>
    <row r="34" spans="1:5" x14ac:dyDescent="0.25">
      <c r="A34" s="226"/>
      <c r="B34" s="227"/>
      <c r="C34" s="221"/>
      <c r="D34" s="221"/>
      <c r="E34" s="221"/>
    </row>
    <row r="35" spans="1:5" x14ac:dyDescent="0.25">
      <c r="A35" s="226"/>
      <c r="B35" s="227"/>
      <c r="C35" s="221"/>
      <c r="D35" s="221"/>
      <c r="E35" s="221"/>
    </row>
    <row r="36" spans="1:5" x14ac:dyDescent="0.25">
      <c r="A36" s="227"/>
      <c r="B36" s="227"/>
      <c r="C36" s="221"/>
      <c r="D36" s="221"/>
      <c r="E36" s="221"/>
    </row>
    <row r="37" spans="1:5" x14ac:dyDescent="0.25">
      <c r="A37" s="220" t="s">
        <v>251</v>
      </c>
      <c r="B37" s="227"/>
      <c r="C37" s="221"/>
      <c r="D37" s="221"/>
      <c r="E37" s="221"/>
    </row>
    <row r="38" spans="1:5" x14ac:dyDescent="0.25">
      <c r="A38" s="220" t="s">
        <v>140</v>
      </c>
      <c r="B38" s="227"/>
      <c r="C38" s="221"/>
      <c r="D38" s="221"/>
      <c r="E38" s="221"/>
    </row>
    <row r="39" spans="1:5" x14ac:dyDescent="0.25">
      <c r="A39" s="220" t="s">
        <v>269</v>
      </c>
      <c r="B39" s="227"/>
      <c r="C39" s="221"/>
      <c r="D39" s="221"/>
      <c r="E39" s="221"/>
    </row>
    <row r="40" spans="1:5" x14ac:dyDescent="0.25">
      <c r="A40" s="220"/>
      <c r="B40" s="227"/>
      <c r="C40" s="221"/>
      <c r="D40" s="221"/>
      <c r="E40" s="221"/>
    </row>
    <row r="41" spans="1:5" x14ac:dyDescent="0.25">
      <c r="A41" s="227"/>
      <c r="B41" s="227"/>
      <c r="C41" s="221"/>
      <c r="D41" s="221"/>
      <c r="E41" s="221"/>
    </row>
    <row r="42" spans="1:5" x14ac:dyDescent="0.25">
      <c r="A42" s="227"/>
      <c r="B42" s="227"/>
      <c r="C42" s="221"/>
      <c r="D42" s="221"/>
      <c r="E42" s="221"/>
    </row>
    <row r="43" spans="1:5" x14ac:dyDescent="0.25">
      <c r="A43" s="227" t="s">
        <v>196</v>
      </c>
      <c r="B43" s="227"/>
      <c r="C43" s="221"/>
      <c r="D43" s="221"/>
      <c r="E43" s="221"/>
    </row>
    <row r="44" spans="1:5" x14ac:dyDescent="0.25">
      <c r="A44" s="227"/>
      <c r="B44" s="227"/>
      <c r="C44" s="221"/>
      <c r="D44" s="221"/>
      <c r="E44" s="221"/>
    </row>
    <row r="45" spans="1:5" x14ac:dyDescent="0.25">
      <c r="A45" s="227"/>
      <c r="B45" s="227"/>
      <c r="C45" s="221"/>
      <c r="D45" s="221"/>
      <c r="E45" s="221"/>
    </row>
    <row r="46" spans="1:5" x14ac:dyDescent="0.25">
      <c r="A46" s="227"/>
      <c r="B46" s="227"/>
      <c r="C46" s="221"/>
      <c r="D46" s="221"/>
      <c r="E46" s="221"/>
    </row>
    <row r="47" spans="1:5" x14ac:dyDescent="0.25">
      <c r="A47" s="220"/>
      <c r="B47" s="227"/>
      <c r="C47" s="221"/>
      <c r="D47" s="221"/>
      <c r="E47" s="221"/>
    </row>
    <row r="48" spans="1:5" x14ac:dyDescent="0.25">
      <c r="A48" s="223" t="s">
        <v>146</v>
      </c>
      <c r="B48" s="227"/>
      <c r="C48" s="221"/>
      <c r="D48" s="221"/>
      <c r="E48" s="221"/>
    </row>
    <row r="49" spans="1:5" x14ac:dyDescent="0.25">
      <c r="A49" s="220" t="s">
        <v>148</v>
      </c>
      <c r="B49" s="227"/>
      <c r="C49" s="221"/>
      <c r="D49" s="221"/>
      <c r="E49" s="221"/>
    </row>
  </sheetData>
  <pageMargins left="0.7" right="0.7" top="0.75" bottom="0.75" header="0.3" footer="0.3"/>
  <pageSetup paperSize="9" scale="38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9D5F-59AF-4334-8DAC-34A19264C9D8}">
  <sheetPr codeName="Sheet16"/>
  <dimension ref="A1:B47"/>
  <sheetViews>
    <sheetView topLeftCell="A16" workbookViewId="0">
      <selection sqref="A1:B33"/>
    </sheetView>
  </sheetViews>
  <sheetFormatPr defaultRowHeight="15" x14ac:dyDescent="0.25"/>
  <cols>
    <col min="1" max="1" width="46.28515625" customWidth="1"/>
    <col min="2" max="2" width="35.28515625" customWidth="1"/>
  </cols>
  <sheetData>
    <row r="1" spans="1:2" ht="34.5" customHeight="1" thickBot="1" x14ac:dyDescent="0.3">
      <c r="A1" s="421" t="s">
        <v>317</v>
      </c>
      <c r="B1" s="421"/>
    </row>
    <row r="2" spans="1:2" ht="15.75" x14ac:dyDescent="0.25">
      <c r="A2" s="117" t="s">
        <v>119</v>
      </c>
      <c r="B2" s="118" t="s">
        <v>125</v>
      </c>
    </row>
    <row r="3" spans="1:2" ht="15.75" x14ac:dyDescent="0.25">
      <c r="A3" s="119" t="s">
        <v>6</v>
      </c>
      <c r="B3" s="120">
        <v>115000</v>
      </c>
    </row>
    <row r="4" spans="1:2" ht="15.75" x14ac:dyDescent="0.25">
      <c r="A4" s="119" t="s">
        <v>314</v>
      </c>
      <c r="B4" s="120">
        <f>+B3*58/100</f>
        <v>66700</v>
      </c>
    </row>
    <row r="5" spans="1:2" ht="15.75" x14ac:dyDescent="0.25">
      <c r="A5" s="119" t="s">
        <v>282</v>
      </c>
      <c r="B5" s="120">
        <f>+ROUND(B3*0.2,0)</f>
        <v>23000</v>
      </c>
    </row>
    <row r="6" spans="1:2" ht="15.75" x14ac:dyDescent="0.25">
      <c r="A6" s="119" t="s">
        <v>318</v>
      </c>
      <c r="B6" s="120">
        <f>3600*1.58</f>
        <v>5688</v>
      </c>
    </row>
    <row r="7" spans="1:2" ht="15.75" x14ac:dyDescent="0.25">
      <c r="A7" s="119" t="s">
        <v>194</v>
      </c>
      <c r="B7" s="120">
        <f>+ROUND(SUM(B3:B4)*0.14,0)</f>
        <v>25438</v>
      </c>
    </row>
    <row r="8" spans="1:2" ht="15.75" x14ac:dyDescent="0.25">
      <c r="A8" s="124" t="s">
        <v>91</v>
      </c>
      <c r="B8" s="121">
        <f>+SUM(B3:B7)</f>
        <v>235826</v>
      </c>
    </row>
    <row r="9" spans="1:2" ht="15.75" x14ac:dyDescent="0.25">
      <c r="A9" s="122" t="s">
        <v>120</v>
      </c>
      <c r="B9" s="120"/>
    </row>
    <row r="10" spans="1:2" ht="15.75" x14ac:dyDescent="0.25">
      <c r="A10" s="119" t="s">
        <v>14</v>
      </c>
      <c r="B10" s="120">
        <v>0</v>
      </c>
    </row>
    <row r="11" spans="1:2" ht="15.75" x14ac:dyDescent="0.25">
      <c r="A11" s="119" t="s">
        <v>319</v>
      </c>
      <c r="B11" s="120">
        <v>200</v>
      </c>
    </row>
    <row r="12" spans="1:2" ht="15.75" x14ac:dyDescent="0.25">
      <c r="A12" s="119" t="s">
        <v>169</v>
      </c>
      <c r="B12" s="120">
        <v>1000</v>
      </c>
    </row>
    <row r="13" spans="1:2" ht="15.75" x14ac:dyDescent="0.25">
      <c r="A13" s="145" t="s">
        <v>320</v>
      </c>
      <c r="B13" s="120">
        <v>0</v>
      </c>
    </row>
    <row r="14" spans="1:2" ht="15.75" x14ac:dyDescent="0.25">
      <c r="A14" s="145" t="s">
        <v>194</v>
      </c>
      <c r="B14" s="120">
        <f>+B7</f>
        <v>25438</v>
      </c>
    </row>
    <row r="15" spans="1:2" ht="15.75" x14ac:dyDescent="0.25">
      <c r="A15" s="145" t="s">
        <v>321</v>
      </c>
      <c r="B15" s="120">
        <f>+ROUND(SUM(B3:B4)*0.1,0)</f>
        <v>18170</v>
      </c>
    </row>
    <row r="16" spans="1:2" ht="15.75" x14ac:dyDescent="0.25">
      <c r="A16" s="124" t="s">
        <v>322</v>
      </c>
      <c r="B16" s="121">
        <f>+SUM(B10:B15)</f>
        <v>44808</v>
      </c>
    </row>
    <row r="17" spans="1:2" ht="16.5" thickBot="1" x14ac:dyDescent="0.3">
      <c r="A17" s="125" t="s">
        <v>190</v>
      </c>
      <c r="B17" s="126">
        <f>+B8-B16</f>
        <v>191018</v>
      </c>
    </row>
    <row r="18" spans="1:2" ht="15.75" x14ac:dyDescent="0.25">
      <c r="A18" s="127"/>
      <c r="B18" s="127"/>
    </row>
    <row r="19" spans="1:2" ht="15.75" x14ac:dyDescent="0.25">
      <c r="A19" s="140"/>
      <c r="B19" s="141"/>
    </row>
    <row r="20" spans="1:2" ht="15.75" x14ac:dyDescent="0.25">
      <c r="A20" s="140"/>
      <c r="B20" s="141"/>
    </row>
    <row r="21" spans="1:2" ht="15.75" x14ac:dyDescent="0.25">
      <c r="A21" s="140"/>
      <c r="B21" s="141"/>
    </row>
    <row r="22" spans="1:2" x14ac:dyDescent="0.25">
      <c r="A22" s="129" t="s">
        <v>323</v>
      </c>
      <c r="B22" s="146"/>
    </row>
    <row r="23" spans="1:2" x14ac:dyDescent="0.25">
      <c r="A23" s="131"/>
      <c r="B23" s="130"/>
    </row>
    <row r="24" spans="1:2" x14ac:dyDescent="0.25">
      <c r="A24" s="129"/>
      <c r="B24" s="132"/>
    </row>
    <row r="25" spans="1:2" ht="15.75" x14ac:dyDescent="0.25">
      <c r="A25" s="128"/>
      <c r="B25" s="127"/>
    </row>
    <row r="26" spans="1:2" ht="15.75" x14ac:dyDescent="0.25">
      <c r="A26" s="128"/>
      <c r="B26" s="127"/>
    </row>
    <row r="27" spans="1:2" ht="15.75" x14ac:dyDescent="0.25">
      <c r="A27" s="128" t="s">
        <v>324</v>
      </c>
      <c r="B27" s="127"/>
    </row>
    <row r="28" spans="1:2" ht="15.75" x14ac:dyDescent="0.25">
      <c r="A28" s="128"/>
      <c r="B28" s="127"/>
    </row>
    <row r="29" spans="1:2" ht="15.75" x14ac:dyDescent="0.25">
      <c r="A29" s="128"/>
      <c r="B29" s="127"/>
    </row>
    <row r="30" spans="1:2" ht="15.75" x14ac:dyDescent="0.25">
      <c r="A30" s="128"/>
      <c r="B30" s="127"/>
    </row>
    <row r="31" spans="1:2" ht="15.75" x14ac:dyDescent="0.25">
      <c r="A31" s="128"/>
      <c r="B31" s="127"/>
    </row>
    <row r="32" spans="1:2" ht="15.75" x14ac:dyDescent="0.25">
      <c r="A32" s="128" t="s">
        <v>325</v>
      </c>
      <c r="B32" s="127"/>
    </row>
    <row r="33" spans="1:2" ht="15.75" x14ac:dyDescent="0.25">
      <c r="A33" s="128"/>
      <c r="B33" s="127"/>
    </row>
    <row r="34" spans="1:2" ht="15.75" x14ac:dyDescent="0.25">
      <c r="A34" s="127"/>
      <c r="B34" s="127"/>
    </row>
    <row r="35" spans="1:2" ht="15.75" x14ac:dyDescent="0.25">
      <c r="A35" s="129"/>
      <c r="B35" s="127"/>
    </row>
    <row r="36" spans="1:2" ht="15.75" x14ac:dyDescent="0.25">
      <c r="A36" s="129"/>
      <c r="B36" s="127"/>
    </row>
    <row r="37" spans="1:2" ht="15.75" x14ac:dyDescent="0.25">
      <c r="A37" s="129"/>
      <c r="B37" s="127"/>
    </row>
    <row r="38" spans="1:2" ht="15.75" x14ac:dyDescent="0.25">
      <c r="A38" s="129"/>
      <c r="B38" s="127"/>
    </row>
    <row r="39" spans="1:2" ht="15.75" x14ac:dyDescent="0.25">
      <c r="A39" s="127"/>
      <c r="B39" s="127"/>
    </row>
    <row r="40" spans="1:2" ht="15.75" x14ac:dyDescent="0.25">
      <c r="A40" s="127"/>
      <c r="B40" s="127"/>
    </row>
    <row r="41" spans="1:2" ht="15.75" x14ac:dyDescent="0.25">
      <c r="A41" s="127"/>
      <c r="B41" s="127"/>
    </row>
    <row r="42" spans="1:2" ht="15.75" x14ac:dyDescent="0.25">
      <c r="A42" s="127"/>
      <c r="B42" s="127"/>
    </row>
    <row r="43" spans="1:2" ht="15.75" x14ac:dyDescent="0.25">
      <c r="A43" s="127"/>
      <c r="B43" s="127"/>
    </row>
    <row r="44" spans="1:2" ht="15.75" x14ac:dyDescent="0.25">
      <c r="A44" s="127"/>
      <c r="B44" s="127"/>
    </row>
    <row r="45" spans="1:2" ht="15.75" x14ac:dyDescent="0.25">
      <c r="A45" s="129"/>
      <c r="B45" s="127"/>
    </row>
    <row r="46" spans="1:2" ht="15.75" x14ac:dyDescent="0.25">
      <c r="A46" s="131"/>
      <c r="B46" s="127"/>
    </row>
    <row r="47" spans="1:2" ht="15.75" x14ac:dyDescent="0.25">
      <c r="A47" s="129"/>
      <c r="B47" s="127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2:W69"/>
  <sheetViews>
    <sheetView zoomScaleNormal="100" workbookViewId="0">
      <pane xSplit="6" topLeftCell="G1" activePane="topRight" state="frozen"/>
      <selection activeCell="A3" sqref="A3"/>
      <selection pane="topRight" activeCell="G34" sqref="G34:S36"/>
    </sheetView>
  </sheetViews>
  <sheetFormatPr defaultRowHeight="15" x14ac:dyDescent="0.25"/>
  <cols>
    <col min="1" max="1" width="9.42578125" style="50" customWidth="1"/>
    <col min="2" max="2" width="28.85546875" style="50" customWidth="1"/>
    <col min="3" max="3" width="14.42578125" style="50" hidden="1" customWidth="1"/>
    <col min="4" max="4" width="13.5703125" style="50" hidden="1" customWidth="1"/>
    <col min="5" max="5" width="0" style="50" hidden="1" customWidth="1"/>
    <col min="6" max="6" width="1.7109375" style="50" hidden="1" customWidth="1"/>
    <col min="7" max="7" width="15.28515625" style="89" customWidth="1"/>
    <col min="8" max="8" width="15.28515625" style="50" customWidth="1"/>
    <col min="9" max="9" width="11.42578125" style="50" bestFit="1" customWidth="1"/>
    <col min="10" max="10" width="15.140625" style="50" customWidth="1"/>
    <col min="11" max="11" width="16.28515625" style="50" customWidth="1"/>
    <col min="12" max="12" width="12.5703125" style="50" customWidth="1"/>
    <col min="13" max="13" width="16.28515625" style="50" customWidth="1"/>
    <col min="14" max="14" width="12.7109375" style="50" customWidth="1"/>
    <col min="15" max="15" width="11.28515625" style="50" bestFit="1" customWidth="1"/>
    <col min="16" max="16" width="13.42578125" style="50" customWidth="1"/>
    <col min="17" max="17" width="13" style="50" customWidth="1"/>
    <col min="18" max="18" width="12.28515625" style="50" customWidth="1"/>
    <col min="19" max="19" width="15.5703125" style="50" customWidth="1"/>
    <col min="20" max="20" width="14.85546875" style="50" bestFit="1" customWidth="1"/>
    <col min="21" max="16384" width="9.140625" style="50"/>
  </cols>
  <sheetData>
    <row r="2" spans="1:23" ht="21.75" customHeight="1" x14ac:dyDescent="0.25">
      <c r="A2" s="423" t="s">
        <v>142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</row>
    <row r="3" spans="1:23" ht="63" x14ac:dyDescent="0.25">
      <c r="A3" s="51" t="s">
        <v>0</v>
      </c>
      <c r="B3" s="77" t="s">
        <v>1</v>
      </c>
      <c r="C3" s="51" t="s">
        <v>2</v>
      </c>
      <c r="D3" s="51" t="s">
        <v>3</v>
      </c>
      <c r="E3" s="77" t="s">
        <v>4</v>
      </c>
      <c r="F3" s="51" t="s">
        <v>5</v>
      </c>
      <c r="G3" s="87" t="s">
        <v>6</v>
      </c>
      <c r="H3" s="82" t="s">
        <v>137</v>
      </c>
      <c r="I3" s="77" t="s">
        <v>8</v>
      </c>
      <c r="J3" s="77" t="s">
        <v>92</v>
      </c>
      <c r="K3" s="77" t="s">
        <v>100</v>
      </c>
      <c r="L3" s="77" t="s">
        <v>101</v>
      </c>
      <c r="M3" s="77" t="s">
        <v>91</v>
      </c>
      <c r="N3" s="77" t="s">
        <v>13</v>
      </c>
      <c r="O3" s="51" t="s">
        <v>14</v>
      </c>
      <c r="P3" s="77" t="s">
        <v>15</v>
      </c>
      <c r="Q3" s="77" t="s">
        <v>128</v>
      </c>
      <c r="R3" s="77" t="s">
        <v>16</v>
      </c>
      <c r="S3" s="77" t="s">
        <v>17</v>
      </c>
      <c r="T3" s="51" t="s">
        <v>18</v>
      </c>
    </row>
    <row r="4" spans="1:23" ht="15.75" x14ac:dyDescent="0.25">
      <c r="A4" s="72">
        <v>1</v>
      </c>
      <c r="B4" s="102" t="s">
        <v>150</v>
      </c>
      <c r="C4" s="96"/>
      <c r="D4" s="96"/>
      <c r="E4" s="97"/>
      <c r="F4" s="96"/>
      <c r="G4" s="104">
        <f>ROUNDUP(167200*2/28,0)</f>
        <v>11943</v>
      </c>
      <c r="H4" s="103">
        <f>ROUND(G4*38%,0)</f>
        <v>4538</v>
      </c>
      <c r="I4" s="52">
        <v>0</v>
      </c>
      <c r="J4" s="52">
        <f t="shared" ref="J4:J26" si="0">ROUND(G4*18/100,0)</f>
        <v>2150</v>
      </c>
      <c r="K4" s="52">
        <f t="shared" ref="K4:K26" si="1">SUM(G4:J4)</f>
        <v>18631</v>
      </c>
      <c r="L4" s="52">
        <v>2</v>
      </c>
      <c r="M4" s="52">
        <f>+K4</f>
        <v>18631</v>
      </c>
      <c r="N4" s="52">
        <v>150</v>
      </c>
      <c r="O4" s="52">
        <v>10000</v>
      </c>
      <c r="P4" s="52">
        <v>0</v>
      </c>
      <c r="Q4" s="52">
        <v>0</v>
      </c>
      <c r="R4" s="52">
        <v>0</v>
      </c>
      <c r="S4" s="54">
        <f t="shared" ref="S4:S26" si="2">SUM(N4:R4)</f>
        <v>10150</v>
      </c>
      <c r="T4" s="55">
        <f t="shared" ref="T4:T26" si="3">+M4-S4</f>
        <v>8481</v>
      </c>
    </row>
    <row r="5" spans="1:23" s="89" customFormat="1" ht="24" customHeight="1" x14ac:dyDescent="0.25">
      <c r="A5" s="72">
        <v>2</v>
      </c>
      <c r="B5" s="107" t="s">
        <v>51</v>
      </c>
      <c r="C5" s="98" t="s">
        <v>20</v>
      </c>
      <c r="D5" s="93" t="s">
        <v>21</v>
      </c>
      <c r="E5" s="94">
        <v>43643</v>
      </c>
      <c r="F5" s="95" t="s">
        <v>22</v>
      </c>
      <c r="G5" s="55">
        <f>+ROUNDUP(96900*0.928571428571429,0)</f>
        <v>89979</v>
      </c>
      <c r="H5" s="103">
        <f>ROUND(G5*38%,0)</f>
        <v>34192</v>
      </c>
      <c r="I5" s="52">
        <v>0</v>
      </c>
      <c r="J5" s="52">
        <f t="shared" si="0"/>
        <v>16196</v>
      </c>
      <c r="K5" s="52">
        <f t="shared" si="1"/>
        <v>140367</v>
      </c>
      <c r="L5" s="52">
        <v>26</v>
      </c>
      <c r="M5" s="52">
        <f>+K5</f>
        <v>140367</v>
      </c>
      <c r="N5" s="52">
        <v>200</v>
      </c>
      <c r="O5" s="52">
        <v>20000</v>
      </c>
      <c r="P5" s="53">
        <f>ROUND(SUM(G5+H5)*10%*26/28,0)</f>
        <v>11530</v>
      </c>
      <c r="Q5" s="52">
        <v>495</v>
      </c>
      <c r="R5" s="54">
        <v>3000</v>
      </c>
      <c r="S5" s="54">
        <f t="shared" si="2"/>
        <v>35225</v>
      </c>
      <c r="T5" s="55">
        <f t="shared" si="3"/>
        <v>105142</v>
      </c>
      <c r="V5" s="89">
        <v>96900</v>
      </c>
    </row>
    <row r="6" spans="1:23" s="89" customFormat="1" ht="24" customHeight="1" x14ac:dyDescent="0.25">
      <c r="A6" s="72">
        <v>3</v>
      </c>
      <c r="B6" s="107" t="s">
        <v>51</v>
      </c>
      <c r="C6" s="98"/>
      <c r="D6" s="93"/>
      <c r="E6" s="94"/>
      <c r="F6" s="95"/>
      <c r="G6" s="52">
        <f>+ROUND(88700*0.0714285714285714,0)</f>
        <v>6336</v>
      </c>
      <c r="H6" s="52">
        <f>ROUND(G6*38%,0)</f>
        <v>2408</v>
      </c>
      <c r="I6" s="52">
        <f>+ROUND(4968*0.0714285714285714,0)</f>
        <v>355</v>
      </c>
      <c r="J6" s="52">
        <f t="shared" si="0"/>
        <v>1140</v>
      </c>
      <c r="K6" s="52">
        <f t="shared" si="1"/>
        <v>10239</v>
      </c>
      <c r="L6" s="52">
        <v>2</v>
      </c>
      <c r="M6" s="52">
        <f>+K6</f>
        <v>10239</v>
      </c>
      <c r="N6" s="52"/>
      <c r="O6" s="52"/>
      <c r="P6" s="53">
        <f>+(88700+33706)*0.0714285714285714*0.1</f>
        <v>874.32857142857108</v>
      </c>
      <c r="Q6" s="52">
        <v>0</v>
      </c>
      <c r="R6" s="54">
        <v>0</v>
      </c>
      <c r="S6" s="54">
        <f t="shared" si="2"/>
        <v>874.32857142857108</v>
      </c>
      <c r="T6" s="55">
        <f>+M6-P6</f>
        <v>9364.6714285714297</v>
      </c>
    </row>
    <row r="7" spans="1:23" ht="24" customHeight="1" x14ac:dyDescent="0.25">
      <c r="A7" s="72">
        <v>4</v>
      </c>
      <c r="B7" s="80" t="s">
        <v>99</v>
      </c>
      <c r="C7" s="99"/>
      <c r="D7" s="56"/>
      <c r="E7" s="57"/>
      <c r="F7" s="58"/>
      <c r="G7" s="59">
        <v>82200</v>
      </c>
      <c r="H7" s="59">
        <f>ROUND(G7*38%,0)</f>
        <v>31236</v>
      </c>
      <c r="I7" s="59">
        <f>3600*138%</f>
        <v>4968</v>
      </c>
      <c r="J7" s="59">
        <f t="shared" si="0"/>
        <v>14796</v>
      </c>
      <c r="K7" s="59">
        <f t="shared" si="1"/>
        <v>133200</v>
      </c>
      <c r="L7" s="52">
        <v>28</v>
      </c>
      <c r="M7" s="52">
        <f t="shared" ref="M7:M26" si="4">+K7*L7/28</f>
        <v>133200</v>
      </c>
      <c r="N7" s="59">
        <v>200</v>
      </c>
      <c r="O7" s="59">
        <v>21100</v>
      </c>
      <c r="P7" s="60">
        <f t="shared" ref="P7:P20" si="5">ROUND(SUM(G7+H7)*10%,0)</f>
        <v>11344</v>
      </c>
      <c r="Q7" s="52">
        <v>495</v>
      </c>
      <c r="R7" s="55">
        <v>0</v>
      </c>
      <c r="S7" s="55">
        <f t="shared" si="2"/>
        <v>33139</v>
      </c>
      <c r="T7" s="55">
        <f t="shared" si="3"/>
        <v>100061</v>
      </c>
    </row>
    <row r="8" spans="1:23" ht="30.75" customHeight="1" x14ac:dyDescent="0.25">
      <c r="A8" s="72">
        <v>5</v>
      </c>
      <c r="B8" s="80" t="s">
        <v>131</v>
      </c>
      <c r="C8" s="99"/>
      <c r="D8" s="56"/>
      <c r="E8" s="57"/>
      <c r="F8" s="58"/>
      <c r="G8" s="59">
        <v>69700</v>
      </c>
      <c r="H8" s="59">
        <f>ROUND(G8*38%,0)</f>
        <v>26486</v>
      </c>
      <c r="I8" s="59">
        <f>3600*138%</f>
        <v>4968</v>
      </c>
      <c r="J8" s="59">
        <f t="shared" si="0"/>
        <v>12546</v>
      </c>
      <c r="K8" s="59">
        <f t="shared" si="1"/>
        <v>113700</v>
      </c>
      <c r="L8" s="52">
        <v>28</v>
      </c>
      <c r="M8" s="52">
        <f t="shared" si="4"/>
        <v>113700</v>
      </c>
      <c r="N8" s="59">
        <v>200</v>
      </c>
      <c r="O8" s="59">
        <v>12200</v>
      </c>
      <c r="P8" s="60">
        <f t="shared" si="5"/>
        <v>9619</v>
      </c>
      <c r="Q8" s="52">
        <v>495</v>
      </c>
      <c r="R8" s="55">
        <v>0</v>
      </c>
      <c r="S8" s="55">
        <f t="shared" si="2"/>
        <v>22514</v>
      </c>
      <c r="T8" s="55">
        <f t="shared" si="3"/>
        <v>91186</v>
      </c>
    </row>
    <row r="9" spans="1:23" ht="24" customHeight="1" x14ac:dyDescent="0.25">
      <c r="A9" s="72">
        <v>6</v>
      </c>
      <c r="B9" s="80" t="s">
        <v>132</v>
      </c>
      <c r="C9" s="99"/>
      <c r="D9" s="56"/>
      <c r="E9" s="57"/>
      <c r="F9" s="58"/>
      <c r="G9" s="59">
        <v>69700</v>
      </c>
      <c r="H9" s="59">
        <f t="shared" ref="H9:H26" si="6">ROUND(G9*38%,0)</f>
        <v>26486</v>
      </c>
      <c r="I9" s="59">
        <f>3600*138%</f>
        <v>4968</v>
      </c>
      <c r="J9" s="59">
        <f t="shared" si="0"/>
        <v>12546</v>
      </c>
      <c r="K9" s="59">
        <f t="shared" si="1"/>
        <v>113700</v>
      </c>
      <c r="L9" s="52">
        <v>28</v>
      </c>
      <c r="M9" s="52">
        <f t="shared" si="4"/>
        <v>113700</v>
      </c>
      <c r="N9" s="59">
        <v>200</v>
      </c>
      <c r="O9" s="59">
        <v>14500</v>
      </c>
      <c r="P9" s="60">
        <f t="shared" si="5"/>
        <v>9619</v>
      </c>
      <c r="Q9" s="52">
        <v>495</v>
      </c>
      <c r="R9" s="55">
        <v>0</v>
      </c>
      <c r="S9" s="55">
        <f t="shared" si="2"/>
        <v>24814</v>
      </c>
      <c r="T9" s="55">
        <f t="shared" si="3"/>
        <v>88886</v>
      </c>
    </row>
    <row r="10" spans="1:23" ht="24" customHeight="1" x14ac:dyDescent="0.25">
      <c r="A10" s="72">
        <v>7</v>
      </c>
      <c r="B10" s="80" t="s">
        <v>72</v>
      </c>
      <c r="C10" s="99" t="s">
        <v>25</v>
      </c>
      <c r="D10" s="56" t="s">
        <v>21</v>
      </c>
      <c r="E10" s="57">
        <v>43682</v>
      </c>
      <c r="F10" s="58" t="s">
        <v>26</v>
      </c>
      <c r="G10" s="59">
        <v>49000</v>
      </c>
      <c r="H10" s="59">
        <f t="shared" si="6"/>
        <v>18620</v>
      </c>
      <c r="I10" s="59">
        <f>1800*138%</f>
        <v>2484</v>
      </c>
      <c r="J10" s="59">
        <f t="shared" si="0"/>
        <v>8820</v>
      </c>
      <c r="K10" s="59">
        <f t="shared" si="1"/>
        <v>78924</v>
      </c>
      <c r="L10" s="52">
        <v>28</v>
      </c>
      <c r="M10" s="52">
        <f t="shared" si="4"/>
        <v>78924</v>
      </c>
      <c r="N10" s="59">
        <v>200</v>
      </c>
      <c r="O10" s="59">
        <v>4000</v>
      </c>
      <c r="P10" s="60">
        <f t="shared" si="5"/>
        <v>6762</v>
      </c>
      <c r="Q10" s="52">
        <v>297</v>
      </c>
      <c r="R10" s="55">
        <v>0</v>
      </c>
      <c r="S10" s="55">
        <f t="shared" si="2"/>
        <v>11259</v>
      </c>
      <c r="T10" s="55">
        <f t="shared" si="3"/>
        <v>67665</v>
      </c>
    </row>
    <row r="11" spans="1:23" ht="31.5" x14ac:dyDescent="0.25">
      <c r="A11" s="72">
        <v>8</v>
      </c>
      <c r="B11" s="80" t="s">
        <v>27</v>
      </c>
      <c r="C11" s="99" t="s">
        <v>28</v>
      </c>
      <c r="D11" s="56" t="s">
        <v>21</v>
      </c>
      <c r="E11" s="57">
        <v>43699</v>
      </c>
      <c r="F11" s="58" t="s">
        <v>26</v>
      </c>
      <c r="G11" s="59">
        <v>49000</v>
      </c>
      <c r="H11" s="59">
        <f t="shared" si="6"/>
        <v>18620</v>
      </c>
      <c r="I11" s="59">
        <v>0</v>
      </c>
      <c r="J11" s="59">
        <f t="shared" si="0"/>
        <v>8820</v>
      </c>
      <c r="K11" s="59">
        <f t="shared" si="1"/>
        <v>76440</v>
      </c>
      <c r="L11" s="52">
        <v>28</v>
      </c>
      <c r="M11" s="52">
        <f t="shared" si="4"/>
        <v>76440</v>
      </c>
      <c r="N11" s="59">
        <v>200</v>
      </c>
      <c r="O11" s="59">
        <v>5700</v>
      </c>
      <c r="P11" s="60">
        <f t="shared" si="5"/>
        <v>6762</v>
      </c>
      <c r="Q11" s="52">
        <v>297</v>
      </c>
      <c r="R11" s="55">
        <v>3206</v>
      </c>
      <c r="S11" s="55">
        <f t="shared" si="2"/>
        <v>16165</v>
      </c>
      <c r="T11" s="55">
        <f t="shared" si="3"/>
        <v>60275</v>
      </c>
      <c r="V11" s="50" t="s">
        <v>143</v>
      </c>
    </row>
    <row r="12" spans="1:23" ht="24" customHeight="1" x14ac:dyDescent="0.25">
      <c r="A12" s="72">
        <v>9</v>
      </c>
      <c r="B12" s="80" t="s">
        <v>29</v>
      </c>
      <c r="C12" s="61" t="s">
        <v>30</v>
      </c>
      <c r="D12" s="62" t="s">
        <v>21</v>
      </c>
      <c r="E12" s="63">
        <v>43712</v>
      </c>
      <c r="F12" s="58" t="s">
        <v>26</v>
      </c>
      <c r="G12" s="59">
        <v>49000</v>
      </c>
      <c r="H12" s="59">
        <f t="shared" si="6"/>
        <v>18620</v>
      </c>
      <c r="I12" s="59">
        <f t="shared" ref="I12:I26" si="7">1800*138%</f>
        <v>2484</v>
      </c>
      <c r="J12" s="59">
        <f t="shared" si="0"/>
        <v>8820</v>
      </c>
      <c r="K12" s="59">
        <f t="shared" si="1"/>
        <v>78924</v>
      </c>
      <c r="L12" s="52">
        <v>28</v>
      </c>
      <c r="M12" s="52">
        <f t="shared" si="4"/>
        <v>78924</v>
      </c>
      <c r="N12" s="59">
        <v>200</v>
      </c>
      <c r="O12" s="59">
        <v>1000</v>
      </c>
      <c r="P12" s="60">
        <f t="shared" si="5"/>
        <v>6762</v>
      </c>
      <c r="Q12" s="52">
        <v>297</v>
      </c>
      <c r="R12" s="55">
        <v>0</v>
      </c>
      <c r="S12" s="55">
        <f t="shared" si="2"/>
        <v>8259</v>
      </c>
      <c r="T12" s="55">
        <f t="shared" si="3"/>
        <v>70665</v>
      </c>
    </row>
    <row r="13" spans="1:23" ht="24" customHeight="1" x14ac:dyDescent="0.25">
      <c r="A13" s="72">
        <v>10</v>
      </c>
      <c r="B13" s="80" t="s">
        <v>31</v>
      </c>
      <c r="C13" s="61"/>
      <c r="D13" s="62"/>
      <c r="E13" s="63">
        <v>43850</v>
      </c>
      <c r="F13" s="58" t="s">
        <v>32</v>
      </c>
      <c r="G13" s="59">
        <v>31900</v>
      </c>
      <c r="H13" s="59">
        <f>ROUND(G13*38%,0)</f>
        <v>12122</v>
      </c>
      <c r="I13" s="59">
        <f t="shared" si="7"/>
        <v>2484</v>
      </c>
      <c r="J13" s="59">
        <f t="shared" si="0"/>
        <v>5742</v>
      </c>
      <c r="K13" s="59">
        <f t="shared" si="1"/>
        <v>52248</v>
      </c>
      <c r="L13" s="52">
        <v>28</v>
      </c>
      <c r="M13" s="52">
        <f t="shared" si="4"/>
        <v>52248</v>
      </c>
      <c r="N13" s="59">
        <v>200</v>
      </c>
      <c r="O13" s="59">
        <v>0</v>
      </c>
      <c r="P13" s="60">
        <f t="shared" si="5"/>
        <v>4402</v>
      </c>
      <c r="Q13" s="52">
        <v>198</v>
      </c>
      <c r="R13" s="55">
        <v>0</v>
      </c>
      <c r="S13" s="55">
        <f t="shared" si="2"/>
        <v>4800</v>
      </c>
      <c r="T13" s="55">
        <f t="shared" si="3"/>
        <v>47448</v>
      </c>
      <c r="W13" s="75"/>
    </row>
    <row r="14" spans="1:23" ht="24" customHeight="1" x14ac:dyDescent="0.25">
      <c r="A14" s="72">
        <v>11</v>
      </c>
      <c r="B14" s="80" t="s">
        <v>33</v>
      </c>
      <c r="C14" s="61"/>
      <c r="D14" s="62"/>
      <c r="E14" s="64">
        <v>43859</v>
      </c>
      <c r="F14" s="65" t="s">
        <v>34</v>
      </c>
      <c r="G14" s="59">
        <v>38700</v>
      </c>
      <c r="H14" s="59">
        <f t="shared" si="6"/>
        <v>14706</v>
      </c>
      <c r="I14" s="59">
        <f t="shared" si="7"/>
        <v>2484</v>
      </c>
      <c r="J14" s="59">
        <f t="shared" si="0"/>
        <v>6966</v>
      </c>
      <c r="K14" s="66">
        <f t="shared" si="1"/>
        <v>62856</v>
      </c>
      <c r="L14" s="52">
        <v>28</v>
      </c>
      <c r="M14" s="52">
        <f t="shared" si="4"/>
        <v>62856</v>
      </c>
      <c r="N14" s="66">
        <v>200</v>
      </c>
      <c r="O14" s="59">
        <v>0</v>
      </c>
      <c r="P14" s="60">
        <f t="shared" si="5"/>
        <v>5341</v>
      </c>
      <c r="Q14" s="52">
        <v>297</v>
      </c>
      <c r="R14" s="55">
        <v>0</v>
      </c>
      <c r="S14" s="55">
        <f t="shared" si="2"/>
        <v>5838</v>
      </c>
      <c r="T14" s="55">
        <f t="shared" si="3"/>
        <v>57018</v>
      </c>
    </row>
    <row r="15" spans="1:23" ht="24" customHeight="1" x14ac:dyDescent="0.25">
      <c r="A15" s="72">
        <v>12</v>
      </c>
      <c r="B15" s="80" t="s">
        <v>35</v>
      </c>
      <c r="C15" s="100"/>
      <c r="D15" s="67"/>
      <c r="E15" s="68">
        <v>43837</v>
      </c>
      <c r="F15" s="69" t="s">
        <v>34</v>
      </c>
      <c r="G15" s="66">
        <v>38700</v>
      </c>
      <c r="H15" s="59">
        <f t="shared" si="6"/>
        <v>14706</v>
      </c>
      <c r="I15" s="59">
        <f t="shared" si="7"/>
        <v>2484</v>
      </c>
      <c r="J15" s="66">
        <f t="shared" si="0"/>
        <v>6966</v>
      </c>
      <c r="K15" s="70">
        <f t="shared" si="1"/>
        <v>62856</v>
      </c>
      <c r="L15" s="52">
        <v>28</v>
      </c>
      <c r="M15" s="52">
        <f t="shared" si="4"/>
        <v>62856</v>
      </c>
      <c r="N15" s="70">
        <v>200</v>
      </c>
      <c r="O15" s="66">
        <v>0</v>
      </c>
      <c r="P15" s="71">
        <f t="shared" si="5"/>
        <v>5341</v>
      </c>
      <c r="Q15" s="52">
        <v>297</v>
      </c>
      <c r="R15" s="70">
        <v>0</v>
      </c>
      <c r="S15" s="70">
        <f t="shared" si="2"/>
        <v>5838</v>
      </c>
      <c r="T15" s="55">
        <f t="shared" si="3"/>
        <v>57018</v>
      </c>
    </row>
    <row r="16" spans="1:23" ht="24" customHeight="1" x14ac:dyDescent="0.25">
      <c r="A16" s="72">
        <v>13</v>
      </c>
      <c r="B16" s="80" t="s">
        <v>39</v>
      </c>
      <c r="C16" s="101"/>
      <c r="D16" s="72"/>
      <c r="E16" s="73"/>
      <c r="F16" s="72"/>
      <c r="G16" s="55">
        <v>22400</v>
      </c>
      <c r="H16" s="59">
        <f t="shared" si="6"/>
        <v>8512</v>
      </c>
      <c r="I16" s="59">
        <f t="shared" si="7"/>
        <v>2484</v>
      </c>
      <c r="J16" s="66">
        <f t="shared" si="0"/>
        <v>4032</v>
      </c>
      <c r="K16" s="70">
        <f t="shared" si="1"/>
        <v>37428</v>
      </c>
      <c r="L16" s="52">
        <v>28</v>
      </c>
      <c r="M16" s="52">
        <f t="shared" si="4"/>
        <v>37428</v>
      </c>
      <c r="N16" s="70">
        <v>200</v>
      </c>
      <c r="O16" s="66">
        <v>0</v>
      </c>
      <c r="P16" s="71">
        <f t="shared" si="5"/>
        <v>3091</v>
      </c>
      <c r="Q16" s="52">
        <v>198</v>
      </c>
      <c r="R16" s="70">
        <v>0</v>
      </c>
      <c r="S16" s="70">
        <f t="shared" si="2"/>
        <v>3489</v>
      </c>
      <c r="T16" s="55">
        <f t="shared" si="3"/>
        <v>33939</v>
      </c>
    </row>
    <row r="17" spans="1:23" ht="24" customHeight="1" x14ac:dyDescent="0.25">
      <c r="A17" s="72">
        <v>14</v>
      </c>
      <c r="B17" s="80" t="s">
        <v>41</v>
      </c>
      <c r="C17" s="101"/>
      <c r="D17" s="72"/>
      <c r="E17" s="73"/>
      <c r="F17" s="72"/>
      <c r="G17" s="55">
        <v>22400</v>
      </c>
      <c r="H17" s="59">
        <f t="shared" si="6"/>
        <v>8512</v>
      </c>
      <c r="I17" s="59">
        <f t="shared" si="7"/>
        <v>2484</v>
      </c>
      <c r="J17" s="66">
        <f t="shared" si="0"/>
        <v>4032</v>
      </c>
      <c r="K17" s="70">
        <f t="shared" si="1"/>
        <v>37428</v>
      </c>
      <c r="L17" s="52">
        <v>28</v>
      </c>
      <c r="M17" s="52">
        <f t="shared" si="4"/>
        <v>37428</v>
      </c>
      <c r="N17" s="70">
        <v>200</v>
      </c>
      <c r="O17" s="66">
        <v>0</v>
      </c>
      <c r="P17" s="71">
        <f t="shared" si="5"/>
        <v>3091</v>
      </c>
      <c r="Q17" s="52">
        <v>198</v>
      </c>
      <c r="R17" s="70">
        <v>0</v>
      </c>
      <c r="S17" s="70">
        <f t="shared" si="2"/>
        <v>3489</v>
      </c>
      <c r="T17" s="55">
        <f t="shared" si="3"/>
        <v>33939</v>
      </c>
    </row>
    <row r="18" spans="1:23" ht="24" customHeight="1" x14ac:dyDescent="0.25">
      <c r="A18" s="72">
        <v>15</v>
      </c>
      <c r="B18" s="80" t="s">
        <v>106</v>
      </c>
      <c r="C18" s="101"/>
      <c r="D18" s="72"/>
      <c r="E18" s="73"/>
      <c r="F18" s="72"/>
      <c r="G18" s="55">
        <v>22400</v>
      </c>
      <c r="H18" s="59">
        <f t="shared" si="6"/>
        <v>8512</v>
      </c>
      <c r="I18" s="59">
        <f t="shared" si="7"/>
        <v>2484</v>
      </c>
      <c r="J18" s="66">
        <f t="shared" si="0"/>
        <v>4032</v>
      </c>
      <c r="K18" s="70">
        <f t="shared" si="1"/>
        <v>37428</v>
      </c>
      <c r="L18" s="52">
        <v>28</v>
      </c>
      <c r="M18" s="52">
        <f t="shared" si="4"/>
        <v>37428</v>
      </c>
      <c r="N18" s="70">
        <v>200</v>
      </c>
      <c r="O18" s="66">
        <v>0</v>
      </c>
      <c r="P18" s="71">
        <f t="shared" si="5"/>
        <v>3091</v>
      </c>
      <c r="Q18" s="52">
        <v>198</v>
      </c>
      <c r="R18" s="70">
        <v>0</v>
      </c>
      <c r="S18" s="70">
        <f t="shared" si="2"/>
        <v>3489</v>
      </c>
      <c r="T18" s="55">
        <f t="shared" si="3"/>
        <v>33939</v>
      </c>
    </row>
    <row r="19" spans="1:23" ht="24" customHeight="1" x14ac:dyDescent="0.25">
      <c r="A19" s="72">
        <v>16</v>
      </c>
      <c r="B19" s="80" t="s">
        <v>107</v>
      </c>
      <c r="C19" s="101"/>
      <c r="D19" s="72"/>
      <c r="E19" s="73"/>
      <c r="F19" s="72"/>
      <c r="G19" s="55">
        <v>22400</v>
      </c>
      <c r="H19" s="59">
        <f t="shared" si="6"/>
        <v>8512</v>
      </c>
      <c r="I19" s="59">
        <f t="shared" si="7"/>
        <v>2484</v>
      </c>
      <c r="J19" s="66">
        <f t="shared" si="0"/>
        <v>4032</v>
      </c>
      <c r="K19" s="70">
        <f t="shared" si="1"/>
        <v>37428</v>
      </c>
      <c r="L19" s="52">
        <v>28</v>
      </c>
      <c r="M19" s="52">
        <f t="shared" si="4"/>
        <v>37428</v>
      </c>
      <c r="N19" s="70">
        <v>200</v>
      </c>
      <c r="O19" s="70">
        <v>0</v>
      </c>
      <c r="P19" s="71">
        <f t="shared" si="5"/>
        <v>3091</v>
      </c>
      <c r="Q19" s="52">
        <v>198</v>
      </c>
      <c r="R19" s="70"/>
      <c r="S19" s="70">
        <f t="shared" si="2"/>
        <v>3489</v>
      </c>
      <c r="T19" s="55">
        <f t="shared" si="3"/>
        <v>33939</v>
      </c>
    </row>
    <row r="20" spans="1:23" ht="24" customHeight="1" x14ac:dyDescent="0.25">
      <c r="A20" s="72">
        <v>17</v>
      </c>
      <c r="B20" s="80" t="s">
        <v>108</v>
      </c>
      <c r="C20" s="100"/>
      <c r="D20" s="67"/>
      <c r="E20" s="68"/>
      <c r="F20" s="67"/>
      <c r="G20" s="55">
        <v>22400</v>
      </c>
      <c r="H20" s="59">
        <f t="shared" si="6"/>
        <v>8512</v>
      </c>
      <c r="I20" s="59">
        <f t="shared" si="7"/>
        <v>2484</v>
      </c>
      <c r="J20" s="70">
        <f t="shared" si="0"/>
        <v>4032</v>
      </c>
      <c r="K20" s="70">
        <f t="shared" si="1"/>
        <v>37428</v>
      </c>
      <c r="L20" s="52">
        <v>28</v>
      </c>
      <c r="M20" s="52">
        <f t="shared" si="4"/>
        <v>37428</v>
      </c>
      <c r="N20" s="70">
        <v>200</v>
      </c>
      <c r="O20" s="70">
        <v>0</v>
      </c>
      <c r="P20" s="71">
        <f t="shared" si="5"/>
        <v>3091</v>
      </c>
      <c r="Q20" s="52">
        <v>198</v>
      </c>
      <c r="R20" s="70">
        <v>0</v>
      </c>
      <c r="S20" s="70">
        <f t="shared" si="2"/>
        <v>3489</v>
      </c>
      <c r="T20" s="55">
        <f t="shared" si="3"/>
        <v>33939</v>
      </c>
    </row>
    <row r="21" spans="1:23" ht="24" customHeight="1" x14ac:dyDescent="0.25">
      <c r="A21" s="72">
        <v>18</v>
      </c>
      <c r="B21" s="80" t="s">
        <v>110</v>
      </c>
      <c r="C21" s="101"/>
      <c r="D21" s="72"/>
      <c r="E21" s="73"/>
      <c r="F21" s="72"/>
      <c r="G21" s="55">
        <v>22400</v>
      </c>
      <c r="H21" s="59">
        <f t="shared" si="6"/>
        <v>8512</v>
      </c>
      <c r="I21" s="59">
        <f t="shared" si="7"/>
        <v>2484</v>
      </c>
      <c r="J21" s="55">
        <f t="shared" si="0"/>
        <v>4032</v>
      </c>
      <c r="K21" s="70">
        <f t="shared" si="1"/>
        <v>37428</v>
      </c>
      <c r="L21" s="52">
        <v>28</v>
      </c>
      <c r="M21" s="52">
        <f t="shared" si="4"/>
        <v>37428</v>
      </c>
      <c r="N21" s="55">
        <v>200</v>
      </c>
      <c r="O21" s="55">
        <v>0</v>
      </c>
      <c r="P21" s="71">
        <f t="shared" ref="P21:P26" si="8">ROUND(SUM(G21+H21)*10%,0)</f>
        <v>3091</v>
      </c>
      <c r="Q21" s="52">
        <v>198</v>
      </c>
      <c r="R21" s="55">
        <v>0</v>
      </c>
      <c r="S21" s="70">
        <f t="shared" si="2"/>
        <v>3489</v>
      </c>
      <c r="T21" s="55">
        <f t="shared" si="3"/>
        <v>33939</v>
      </c>
    </row>
    <row r="22" spans="1:23" ht="24" customHeight="1" x14ac:dyDescent="0.25">
      <c r="A22" s="72">
        <v>19</v>
      </c>
      <c r="B22" s="80" t="s">
        <v>111</v>
      </c>
      <c r="C22" s="101"/>
      <c r="D22" s="72"/>
      <c r="E22" s="73"/>
      <c r="F22" s="72"/>
      <c r="G22" s="55">
        <v>22400</v>
      </c>
      <c r="H22" s="59">
        <f t="shared" si="6"/>
        <v>8512</v>
      </c>
      <c r="I22" s="59">
        <f t="shared" si="7"/>
        <v>2484</v>
      </c>
      <c r="J22" s="55">
        <f t="shared" si="0"/>
        <v>4032</v>
      </c>
      <c r="K22" s="70">
        <f t="shared" si="1"/>
        <v>37428</v>
      </c>
      <c r="L22" s="52">
        <v>28</v>
      </c>
      <c r="M22" s="52">
        <f t="shared" si="4"/>
        <v>37428</v>
      </c>
      <c r="N22" s="55">
        <v>200</v>
      </c>
      <c r="O22" s="55">
        <v>0</v>
      </c>
      <c r="P22" s="71">
        <f t="shared" si="8"/>
        <v>3091</v>
      </c>
      <c r="Q22" s="52">
        <v>198</v>
      </c>
      <c r="R22" s="55">
        <v>0</v>
      </c>
      <c r="S22" s="70">
        <f t="shared" si="2"/>
        <v>3489</v>
      </c>
      <c r="T22" s="55">
        <f t="shared" si="3"/>
        <v>33939</v>
      </c>
    </row>
    <row r="23" spans="1:23" ht="31.5" x14ac:dyDescent="0.25">
      <c r="A23" s="72">
        <v>20</v>
      </c>
      <c r="B23" s="80" t="s">
        <v>113</v>
      </c>
      <c r="C23" s="101"/>
      <c r="D23" s="72"/>
      <c r="E23" s="73"/>
      <c r="F23" s="72"/>
      <c r="G23" s="55">
        <v>22400</v>
      </c>
      <c r="H23" s="59">
        <f t="shared" si="6"/>
        <v>8512</v>
      </c>
      <c r="I23" s="59">
        <f t="shared" si="7"/>
        <v>2484</v>
      </c>
      <c r="J23" s="55">
        <f t="shared" si="0"/>
        <v>4032</v>
      </c>
      <c r="K23" s="70">
        <f t="shared" si="1"/>
        <v>37428</v>
      </c>
      <c r="L23" s="52">
        <v>28</v>
      </c>
      <c r="M23" s="52">
        <f t="shared" si="4"/>
        <v>37428</v>
      </c>
      <c r="N23" s="55">
        <v>200</v>
      </c>
      <c r="O23" s="55">
        <v>0</v>
      </c>
      <c r="P23" s="71">
        <f t="shared" si="8"/>
        <v>3091</v>
      </c>
      <c r="Q23" s="52">
        <v>198</v>
      </c>
      <c r="R23" s="55">
        <v>0</v>
      </c>
      <c r="S23" s="70">
        <f t="shared" si="2"/>
        <v>3489</v>
      </c>
      <c r="T23" s="55">
        <f t="shared" si="3"/>
        <v>33939</v>
      </c>
    </row>
    <row r="24" spans="1:23" ht="24" customHeight="1" x14ac:dyDescent="0.25">
      <c r="A24" s="72">
        <v>21</v>
      </c>
      <c r="B24" s="80" t="s">
        <v>114</v>
      </c>
      <c r="C24" s="101"/>
      <c r="D24" s="72"/>
      <c r="E24" s="73"/>
      <c r="F24" s="72"/>
      <c r="G24" s="55">
        <v>22400</v>
      </c>
      <c r="H24" s="59">
        <f t="shared" si="6"/>
        <v>8512</v>
      </c>
      <c r="I24" s="59">
        <f t="shared" si="7"/>
        <v>2484</v>
      </c>
      <c r="J24" s="55">
        <f t="shared" si="0"/>
        <v>4032</v>
      </c>
      <c r="K24" s="70">
        <f t="shared" si="1"/>
        <v>37428</v>
      </c>
      <c r="L24" s="52">
        <v>28</v>
      </c>
      <c r="M24" s="52">
        <f t="shared" si="4"/>
        <v>37428</v>
      </c>
      <c r="N24" s="55">
        <v>200</v>
      </c>
      <c r="O24" s="55">
        <v>0</v>
      </c>
      <c r="P24" s="71">
        <f t="shared" si="8"/>
        <v>3091</v>
      </c>
      <c r="Q24" s="52">
        <v>198</v>
      </c>
      <c r="R24" s="55">
        <v>0</v>
      </c>
      <c r="S24" s="70">
        <f t="shared" si="2"/>
        <v>3489</v>
      </c>
      <c r="T24" s="55">
        <f t="shared" si="3"/>
        <v>33939</v>
      </c>
    </row>
    <row r="25" spans="1:23" ht="31.5" x14ac:dyDescent="0.25">
      <c r="A25" s="72">
        <v>22</v>
      </c>
      <c r="B25" s="80" t="s">
        <v>115</v>
      </c>
      <c r="C25" s="101"/>
      <c r="D25" s="72"/>
      <c r="E25" s="73"/>
      <c r="F25" s="72"/>
      <c r="G25" s="55">
        <v>22400</v>
      </c>
      <c r="H25" s="59">
        <f t="shared" si="6"/>
        <v>8512</v>
      </c>
      <c r="I25" s="59">
        <f t="shared" si="7"/>
        <v>2484</v>
      </c>
      <c r="J25" s="55">
        <f t="shared" si="0"/>
        <v>4032</v>
      </c>
      <c r="K25" s="70">
        <f t="shared" si="1"/>
        <v>37428</v>
      </c>
      <c r="L25" s="52">
        <v>28</v>
      </c>
      <c r="M25" s="52">
        <f t="shared" si="4"/>
        <v>37428</v>
      </c>
      <c r="N25" s="55">
        <v>200</v>
      </c>
      <c r="O25" s="55">
        <v>0</v>
      </c>
      <c r="P25" s="71">
        <f t="shared" si="8"/>
        <v>3091</v>
      </c>
      <c r="Q25" s="52">
        <v>198</v>
      </c>
      <c r="R25" s="55">
        <v>0</v>
      </c>
      <c r="S25" s="70">
        <f t="shared" si="2"/>
        <v>3489</v>
      </c>
      <c r="T25" s="55">
        <f t="shared" si="3"/>
        <v>33939</v>
      </c>
      <c r="W25" s="75"/>
    </row>
    <row r="26" spans="1:23" ht="31.5" x14ac:dyDescent="0.25">
      <c r="A26" s="67">
        <v>23</v>
      </c>
      <c r="B26" s="81" t="s">
        <v>116</v>
      </c>
      <c r="C26" s="100"/>
      <c r="D26" s="67"/>
      <c r="E26" s="68"/>
      <c r="F26" s="67"/>
      <c r="G26" s="70">
        <v>22400</v>
      </c>
      <c r="H26" s="66">
        <f t="shared" si="6"/>
        <v>8512</v>
      </c>
      <c r="I26" s="66">
        <f t="shared" si="7"/>
        <v>2484</v>
      </c>
      <c r="J26" s="70">
        <f t="shared" si="0"/>
        <v>4032</v>
      </c>
      <c r="K26" s="70">
        <f t="shared" si="1"/>
        <v>37428</v>
      </c>
      <c r="L26" s="105">
        <v>28</v>
      </c>
      <c r="M26" s="105">
        <f t="shared" si="4"/>
        <v>37428</v>
      </c>
      <c r="N26" s="70">
        <v>200</v>
      </c>
      <c r="O26" s="70">
        <v>0</v>
      </c>
      <c r="P26" s="71">
        <f t="shared" si="8"/>
        <v>3091</v>
      </c>
      <c r="Q26" s="105">
        <v>198</v>
      </c>
      <c r="R26" s="70">
        <v>0</v>
      </c>
      <c r="S26" s="70">
        <f t="shared" si="2"/>
        <v>3489</v>
      </c>
      <c r="T26" s="70">
        <f t="shared" si="3"/>
        <v>33939</v>
      </c>
    </row>
    <row r="27" spans="1:23" ht="24" customHeight="1" x14ac:dyDescent="0.25">
      <c r="A27" s="424" t="s">
        <v>36</v>
      </c>
      <c r="B27" s="424"/>
      <c r="C27" s="106"/>
      <c r="D27" s="106"/>
      <c r="E27" s="106"/>
      <c r="F27" s="106"/>
      <c r="G27" s="74">
        <f>+SUM(G4:G26)</f>
        <v>832558</v>
      </c>
      <c r="H27" s="74">
        <f>+SUM(H4:H26)</f>
        <v>316372</v>
      </c>
      <c r="I27" s="74">
        <f>+SUM(I4:I26)</f>
        <v>55003</v>
      </c>
      <c r="J27" s="74">
        <f>+SUM(J4:J26)</f>
        <v>149860</v>
      </c>
      <c r="K27" s="74">
        <f>+SUM(K4:K26)</f>
        <v>1353793</v>
      </c>
      <c r="L27" s="74"/>
      <c r="M27" s="74">
        <f t="shared" ref="M27:T27" si="9">+SUM(M4:M26)</f>
        <v>1353793</v>
      </c>
      <c r="N27" s="74">
        <f t="shared" si="9"/>
        <v>4350</v>
      </c>
      <c r="O27" s="74">
        <f t="shared" si="9"/>
        <v>88500</v>
      </c>
      <c r="P27" s="74">
        <f t="shared" si="9"/>
        <v>112357.32857142857</v>
      </c>
      <c r="Q27" s="74">
        <f t="shared" si="9"/>
        <v>5841</v>
      </c>
      <c r="R27" s="74">
        <f t="shared" si="9"/>
        <v>6206</v>
      </c>
      <c r="S27" s="74">
        <f t="shared" si="9"/>
        <v>217254.32857142857</v>
      </c>
      <c r="T27" s="74">
        <f t="shared" si="9"/>
        <v>1136538.6714285715</v>
      </c>
    </row>
    <row r="28" spans="1:23" ht="15.75" customHeight="1" x14ac:dyDescent="0.25"/>
    <row r="29" spans="1:23" ht="15.75" customHeight="1" x14ac:dyDescent="0.25"/>
    <row r="30" spans="1:23" ht="15.75" x14ac:dyDescent="0.25">
      <c r="A30" s="76"/>
      <c r="B30" s="76"/>
      <c r="C30" s="76"/>
      <c r="D30" s="76"/>
      <c r="E30" s="76"/>
      <c r="F30" s="76"/>
      <c r="G30" s="88"/>
      <c r="O30" s="75"/>
      <c r="P30" s="75"/>
      <c r="Q30" s="75"/>
    </row>
    <row r="31" spans="1:23" ht="15.75" x14ac:dyDescent="0.25">
      <c r="A31" s="76"/>
      <c r="B31" s="76"/>
      <c r="C31" s="76"/>
      <c r="D31" s="76"/>
      <c r="E31" s="76"/>
      <c r="F31" s="76"/>
      <c r="G31" s="88"/>
      <c r="O31" s="75"/>
      <c r="P31" s="75"/>
      <c r="Q31" s="75"/>
    </row>
    <row r="32" spans="1:23" ht="15.75" x14ac:dyDescent="0.25">
      <c r="A32" s="76"/>
      <c r="B32" s="76"/>
      <c r="C32" s="76"/>
      <c r="D32" s="76"/>
      <c r="E32" s="76"/>
      <c r="F32" s="76"/>
      <c r="G32" s="88"/>
      <c r="O32" s="75"/>
      <c r="P32" s="75"/>
      <c r="Q32" s="75"/>
    </row>
    <row r="33" spans="1:19" x14ac:dyDescent="0.25">
      <c r="N33" s="75"/>
    </row>
    <row r="34" spans="1:19" ht="15.75" x14ac:dyDescent="0.3">
      <c r="A34" s="425" t="s">
        <v>87</v>
      </c>
      <c r="B34" s="425"/>
      <c r="C34" s="83" t="s">
        <v>88</v>
      </c>
      <c r="D34" s="84"/>
      <c r="E34" s="84"/>
      <c r="F34" s="83" t="s">
        <v>88</v>
      </c>
      <c r="G34" s="83"/>
      <c r="H34" s="83" t="s">
        <v>88</v>
      </c>
      <c r="I34" s="84"/>
      <c r="L34" s="89"/>
      <c r="M34" s="83" t="s">
        <v>145</v>
      </c>
      <c r="P34" s="91"/>
      <c r="Q34" s="89"/>
      <c r="R34" s="85" t="s">
        <v>124</v>
      </c>
      <c r="S34" s="92"/>
    </row>
    <row r="35" spans="1:19" ht="15" customHeight="1" x14ac:dyDescent="0.3">
      <c r="A35" s="425" t="s">
        <v>135</v>
      </c>
      <c r="B35" s="425"/>
      <c r="C35" s="83" t="s">
        <v>89</v>
      </c>
      <c r="D35" s="84"/>
      <c r="E35" s="84"/>
      <c r="F35" s="83" t="s">
        <v>138</v>
      </c>
      <c r="G35" s="83"/>
      <c r="H35" s="83" t="s">
        <v>138</v>
      </c>
      <c r="I35" s="84"/>
      <c r="L35" s="89"/>
      <c r="M35" s="83" t="s">
        <v>140</v>
      </c>
      <c r="P35" s="91"/>
      <c r="Q35" s="89"/>
      <c r="R35" s="86" t="s">
        <v>146</v>
      </c>
      <c r="S35" s="92"/>
    </row>
    <row r="36" spans="1:19" ht="15.75" x14ac:dyDescent="0.3">
      <c r="A36" s="425" t="s">
        <v>134</v>
      </c>
      <c r="B36" s="425"/>
      <c r="C36" s="83" t="s">
        <v>147</v>
      </c>
      <c r="D36" s="84"/>
      <c r="E36" s="84"/>
      <c r="F36" s="83" t="s">
        <v>139</v>
      </c>
      <c r="G36" s="83"/>
      <c r="H36" s="83" t="s">
        <v>139</v>
      </c>
      <c r="I36" s="84"/>
      <c r="L36" s="89"/>
      <c r="M36" s="83" t="s">
        <v>144</v>
      </c>
      <c r="P36" s="91"/>
      <c r="Q36" s="89"/>
      <c r="R36" s="86" t="s">
        <v>148</v>
      </c>
      <c r="S36" s="92"/>
    </row>
    <row r="68" spans="1:20" x14ac:dyDescent="0.25">
      <c r="A68" s="422" t="s">
        <v>141</v>
      </c>
      <c r="B68" s="422"/>
      <c r="C68" s="422"/>
      <c r="D68" s="422"/>
      <c r="E68" s="422"/>
      <c r="F68" s="422"/>
      <c r="G68" s="422"/>
      <c r="H68" s="422"/>
      <c r="I68" s="422"/>
      <c r="J68" s="422"/>
      <c r="K68" s="422"/>
      <c r="L68" s="422"/>
      <c r="M68" s="422"/>
      <c r="N68" s="422"/>
      <c r="O68" s="422"/>
      <c r="P68" s="422"/>
      <c r="Q68" s="422"/>
      <c r="R68" s="422"/>
      <c r="S68" s="422"/>
      <c r="T68" s="422"/>
    </row>
    <row r="69" spans="1:20" x14ac:dyDescent="0.25">
      <c r="A69" s="422"/>
      <c r="B69" s="422"/>
      <c r="C69" s="422"/>
      <c r="D69" s="422"/>
      <c r="E69" s="422"/>
      <c r="F69" s="422"/>
      <c r="G69" s="422"/>
      <c r="H69" s="422"/>
      <c r="I69" s="422"/>
      <c r="J69" s="422"/>
      <c r="K69" s="422"/>
      <c r="L69" s="422"/>
      <c r="M69" s="422"/>
      <c r="N69" s="422"/>
      <c r="O69" s="422"/>
      <c r="P69" s="422"/>
      <c r="Q69" s="422"/>
      <c r="R69" s="422"/>
      <c r="S69" s="422"/>
      <c r="T69" s="422"/>
    </row>
  </sheetData>
  <mergeCells count="6">
    <mergeCell ref="A68:T69"/>
    <mergeCell ref="A2:T2"/>
    <mergeCell ref="A27:B27"/>
    <mergeCell ref="A34:B34"/>
    <mergeCell ref="A35:B35"/>
    <mergeCell ref="A36:B36"/>
  </mergeCells>
  <conditionalFormatting sqref="A27 A2 B3:B12">
    <cfRule type="duplicateValues" dxfId="23" priority="1"/>
  </conditionalFormatting>
  <conditionalFormatting sqref="B13:B26">
    <cfRule type="duplicateValues" dxfId="22" priority="2"/>
  </conditionalFormatting>
  <pageMargins left="0.7" right="0.7" top="0.75" bottom="0.75" header="0.3" footer="0.3"/>
  <pageSetup paperSize="9" scale="3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E53"/>
  <sheetViews>
    <sheetView topLeftCell="A28" workbookViewId="0">
      <selection activeCell="A58" sqref="A58"/>
    </sheetView>
  </sheetViews>
  <sheetFormatPr defaultRowHeight="15" x14ac:dyDescent="0.25"/>
  <cols>
    <col min="1" max="1" width="36.5703125" bestFit="1" customWidth="1"/>
    <col min="2" max="2" width="17" customWidth="1"/>
    <col min="3" max="3" width="16.7109375" customWidth="1"/>
    <col min="4" max="4" width="14.42578125" customWidth="1"/>
    <col min="5" max="5" width="18" customWidth="1"/>
  </cols>
  <sheetData>
    <row r="1" spans="1:5" ht="16.5" thickBot="1" x14ac:dyDescent="0.3">
      <c r="A1" s="426" t="s">
        <v>157</v>
      </c>
      <c r="B1" s="427"/>
      <c r="C1" s="427"/>
      <c r="D1" s="427"/>
      <c r="E1" s="428"/>
    </row>
    <row r="2" spans="1:5" ht="15.75" x14ac:dyDescent="0.25">
      <c r="A2" s="111" t="s">
        <v>1</v>
      </c>
      <c r="B2" s="111" t="s">
        <v>6</v>
      </c>
      <c r="C2" s="111" t="s">
        <v>151</v>
      </c>
      <c r="D2" s="111" t="s">
        <v>152</v>
      </c>
      <c r="E2" s="111" t="s">
        <v>153</v>
      </c>
    </row>
    <row r="3" spans="1:5" ht="15.75" x14ac:dyDescent="0.25">
      <c r="A3" s="108" t="s">
        <v>57</v>
      </c>
      <c r="B3" s="109">
        <v>131400</v>
      </c>
      <c r="C3" s="109">
        <f t="shared" ref="C3:C32" si="0">ROUND(B3*38%,0)</f>
        <v>49932</v>
      </c>
      <c r="D3" s="109">
        <f>+SUM(B3:C3)*10/100</f>
        <v>18133.2</v>
      </c>
      <c r="E3" s="109">
        <f>+D3*14/10</f>
        <v>25386.480000000003</v>
      </c>
    </row>
    <row r="4" spans="1:5" ht="15.75" x14ac:dyDescent="0.25">
      <c r="A4" s="90" t="s">
        <v>54</v>
      </c>
      <c r="B4" s="78">
        <v>131400</v>
      </c>
      <c r="C4" s="78">
        <f t="shared" si="0"/>
        <v>49932</v>
      </c>
      <c r="D4" s="109">
        <f t="shared" ref="D4:D50" si="1">+SUM(B4:C4)*10/100</f>
        <v>18133.2</v>
      </c>
      <c r="E4" s="109">
        <f t="shared" ref="E4:E50" si="2">+D4*14/10</f>
        <v>25386.480000000003</v>
      </c>
    </row>
    <row r="5" spans="1:5" ht="15.75" x14ac:dyDescent="0.25">
      <c r="A5" s="90" t="s">
        <v>59</v>
      </c>
      <c r="B5" s="78">
        <v>131400</v>
      </c>
      <c r="C5" s="78">
        <f t="shared" si="0"/>
        <v>49932</v>
      </c>
      <c r="D5" s="109">
        <f t="shared" si="1"/>
        <v>18133.2</v>
      </c>
      <c r="E5" s="109">
        <f t="shared" si="2"/>
        <v>25386.480000000003</v>
      </c>
    </row>
    <row r="6" spans="1:5" ht="15.75" x14ac:dyDescent="0.25">
      <c r="A6" s="90" t="s">
        <v>62</v>
      </c>
      <c r="B6" s="78">
        <v>131400</v>
      </c>
      <c r="C6" s="78">
        <f t="shared" si="0"/>
        <v>49932</v>
      </c>
      <c r="D6" s="109">
        <f t="shared" si="1"/>
        <v>18133.2</v>
      </c>
      <c r="E6" s="109">
        <f t="shared" si="2"/>
        <v>25386.480000000003</v>
      </c>
    </row>
    <row r="7" spans="1:5" ht="15.75" x14ac:dyDescent="0.25">
      <c r="A7" s="90" t="s">
        <v>60</v>
      </c>
      <c r="B7" s="78">
        <v>131400</v>
      </c>
      <c r="C7" s="78">
        <f t="shared" si="0"/>
        <v>49932</v>
      </c>
      <c r="D7" s="109">
        <f t="shared" si="1"/>
        <v>18133.2</v>
      </c>
      <c r="E7" s="109">
        <f t="shared" si="2"/>
        <v>25386.480000000003</v>
      </c>
    </row>
    <row r="8" spans="1:5" ht="15.75" x14ac:dyDescent="0.25">
      <c r="A8" s="90" t="s">
        <v>64</v>
      </c>
      <c r="B8" s="78">
        <v>131400</v>
      </c>
      <c r="C8" s="78">
        <f t="shared" si="0"/>
        <v>49932</v>
      </c>
      <c r="D8" s="109">
        <f t="shared" si="1"/>
        <v>18133.2</v>
      </c>
      <c r="E8" s="109">
        <f t="shared" si="2"/>
        <v>25386.480000000003</v>
      </c>
    </row>
    <row r="9" spans="1:5" ht="15.75" x14ac:dyDescent="0.25">
      <c r="A9" s="90" t="s">
        <v>58</v>
      </c>
      <c r="B9" s="78">
        <v>131400</v>
      </c>
      <c r="C9" s="78">
        <f t="shared" si="0"/>
        <v>49932</v>
      </c>
      <c r="D9" s="109">
        <f t="shared" si="1"/>
        <v>18133.2</v>
      </c>
      <c r="E9" s="109">
        <f t="shared" si="2"/>
        <v>25386.480000000003</v>
      </c>
    </row>
    <row r="10" spans="1:5" ht="15.75" x14ac:dyDescent="0.25">
      <c r="A10" s="90" t="s">
        <v>66</v>
      </c>
      <c r="B10" s="78">
        <v>131400</v>
      </c>
      <c r="C10" s="78">
        <f t="shared" si="0"/>
        <v>49932</v>
      </c>
      <c r="D10" s="109">
        <f t="shared" si="1"/>
        <v>18133.2</v>
      </c>
      <c r="E10" s="109">
        <f t="shared" si="2"/>
        <v>25386.480000000003</v>
      </c>
    </row>
    <row r="11" spans="1:5" ht="15.75" x14ac:dyDescent="0.25">
      <c r="A11" s="90" t="s">
        <v>52</v>
      </c>
      <c r="B11" s="78">
        <v>131400</v>
      </c>
      <c r="C11" s="78">
        <f t="shared" si="0"/>
        <v>49932</v>
      </c>
      <c r="D11" s="109">
        <f t="shared" si="1"/>
        <v>18133.2</v>
      </c>
      <c r="E11" s="109">
        <f t="shared" si="2"/>
        <v>25386.480000000003</v>
      </c>
    </row>
    <row r="12" spans="1:5" ht="15.75" x14ac:dyDescent="0.25">
      <c r="A12" s="90" t="s">
        <v>55</v>
      </c>
      <c r="B12" s="78">
        <v>131400</v>
      </c>
      <c r="C12" s="78">
        <f t="shared" si="0"/>
        <v>49932</v>
      </c>
      <c r="D12" s="109">
        <f t="shared" si="1"/>
        <v>18133.2</v>
      </c>
      <c r="E12" s="109">
        <f t="shared" si="2"/>
        <v>25386.480000000003</v>
      </c>
    </row>
    <row r="13" spans="1:5" ht="15.75" x14ac:dyDescent="0.25">
      <c r="A13" s="90" t="s">
        <v>24</v>
      </c>
      <c r="B13" s="78">
        <v>110800</v>
      </c>
      <c r="C13" s="78">
        <f t="shared" si="0"/>
        <v>42104</v>
      </c>
      <c r="D13" s="109">
        <f t="shared" si="1"/>
        <v>15290.4</v>
      </c>
      <c r="E13" s="109">
        <f t="shared" si="2"/>
        <v>21406.560000000001</v>
      </c>
    </row>
    <row r="14" spans="1:5" ht="15.75" x14ac:dyDescent="0.25">
      <c r="A14" s="90" t="s">
        <v>61</v>
      </c>
      <c r="B14" s="78">
        <v>110800</v>
      </c>
      <c r="C14" s="78">
        <f t="shared" si="0"/>
        <v>42104</v>
      </c>
      <c r="D14" s="109">
        <f t="shared" si="1"/>
        <v>15290.4</v>
      </c>
      <c r="E14" s="109">
        <f t="shared" si="2"/>
        <v>21406.560000000001</v>
      </c>
    </row>
    <row r="15" spans="1:5" ht="15.75" x14ac:dyDescent="0.25">
      <c r="A15" s="90" t="s">
        <v>63</v>
      </c>
      <c r="B15" s="78">
        <v>107600</v>
      </c>
      <c r="C15" s="78">
        <f t="shared" si="0"/>
        <v>40888</v>
      </c>
      <c r="D15" s="109">
        <f t="shared" si="1"/>
        <v>14848.8</v>
      </c>
      <c r="E15" s="109">
        <f t="shared" si="2"/>
        <v>20788.32</v>
      </c>
    </row>
    <row r="16" spans="1:5" ht="15.75" x14ac:dyDescent="0.25">
      <c r="A16" s="90" t="s">
        <v>71</v>
      </c>
      <c r="B16" s="78">
        <v>107600</v>
      </c>
      <c r="C16" s="78">
        <f t="shared" si="0"/>
        <v>40888</v>
      </c>
      <c r="D16" s="109">
        <f t="shared" si="1"/>
        <v>14848.8</v>
      </c>
      <c r="E16" s="109">
        <f t="shared" si="2"/>
        <v>20788.32</v>
      </c>
    </row>
    <row r="17" spans="1:5" ht="15.75" x14ac:dyDescent="0.25">
      <c r="A17" s="90" t="s">
        <v>69</v>
      </c>
      <c r="B17" s="78">
        <v>104500</v>
      </c>
      <c r="C17" s="78">
        <f t="shared" si="0"/>
        <v>39710</v>
      </c>
      <c r="D17" s="109">
        <f t="shared" si="1"/>
        <v>14421</v>
      </c>
      <c r="E17" s="109">
        <f t="shared" si="2"/>
        <v>20189.400000000001</v>
      </c>
    </row>
    <row r="18" spans="1:5" ht="15.75" x14ac:dyDescent="0.25">
      <c r="A18" s="90" t="s">
        <v>68</v>
      </c>
      <c r="B18" s="78">
        <v>104500</v>
      </c>
      <c r="C18" s="78">
        <f t="shared" si="0"/>
        <v>39710</v>
      </c>
      <c r="D18" s="109">
        <f t="shared" si="1"/>
        <v>14421</v>
      </c>
      <c r="E18" s="109">
        <f t="shared" si="2"/>
        <v>20189.400000000001</v>
      </c>
    </row>
    <row r="19" spans="1:5" ht="15.75" x14ac:dyDescent="0.25">
      <c r="A19" s="90" t="s">
        <v>65</v>
      </c>
      <c r="B19" s="78">
        <v>104500</v>
      </c>
      <c r="C19" s="78">
        <f t="shared" si="0"/>
        <v>39710</v>
      </c>
      <c r="D19" s="109">
        <f t="shared" si="1"/>
        <v>14421</v>
      </c>
      <c r="E19" s="109">
        <f t="shared" si="2"/>
        <v>20189.400000000001</v>
      </c>
    </row>
    <row r="20" spans="1:5" ht="15.75" x14ac:dyDescent="0.25">
      <c r="A20" s="90" t="s">
        <v>95</v>
      </c>
      <c r="B20" s="78">
        <v>70900</v>
      </c>
      <c r="C20" s="78">
        <f t="shared" si="0"/>
        <v>26942</v>
      </c>
      <c r="D20" s="109">
        <f t="shared" si="1"/>
        <v>9784.2000000000007</v>
      </c>
      <c r="E20" s="109">
        <f t="shared" si="2"/>
        <v>13697.880000000001</v>
      </c>
    </row>
    <row r="21" spans="1:5" ht="15.75" x14ac:dyDescent="0.25">
      <c r="A21" s="90" t="s">
        <v>96</v>
      </c>
      <c r="B21" s="78">
        <v>70900</v>
      </c>
      <c r="C21" s="78">
        <f t="shared" si="0"/>
        <v>26942</v>
      </c>
      <c r="D21" s="109">
        <f t="shared" si="1"/>
        <v>9784.2000000000007</v>
      </c>
      <c r="E21" s="109">
        <f t="shared" si="2"/>
        <v>13697.880000000001</v>
      </c>
    </row>
    <row r="22" spans="1:5" ht="15.75" x14ac:dyDescent="0.25">
      <c r="A22" s="90" t="s">
        <v>97</v>
      </c>
      <c r="B22" s="78">
        <v>70900</v>
      </c>
      <c r="C22" s="78">
        <f t="shared" si="0"/>
        <v>26942</v>
      </c>
      <c r="D22" s="109">
        <f t="shared" si="1"/>
        <v>9784.2000000000007</v>
      </c>
      <c r="E22" s="109">
        <f t="shared" si="2"/>
        <v>13697.880000000001</v>
      </c>
    </row>
    <row r="23" spans="1:5" ht="15.75" x14ac:dyDescent="0.25">
      <c r="A23" s="90" t="s">
        <v>98</v>
      </c>
      <c r="B23" s="78">
        <v>70900</v>
      </c>
      <c r="C23" s="78">
        <f t="shared" si="0"/>
        <v>26942</v>
      </c>
      <c r="D23" s="109">
        <f t="shared" si="1"/>
        <v>9784.2000000000007</v>
      </c>
      <c r="E23" s="109">
        <f t="shared" si="2"/>
        <v>13697.880000000001</v>
      </c>
    </row>
    <row r="24" spans="1:5" ht="15.75" x14ac:dyDescent="0.25">
      <c r="A24" s="90" t="s">
        <v>104</v>
      </c>
      <c r="B24" s="78">
        <v>70900</v>
      </c>
      <c r="C24" s="78">
        <f t="shared" si="0"/>
        <v>26942</v>
      </c>
      <c r="D24" s="109">
        <f t="shared" si="1"/>
        <v>9784.2000000000007</v>
      </c>
      <c r="E24" s="109">
        <f t="shared" si="2"/>
        <v>13697.880000000001</v>
      </c>
    </row>
    <row r="25" spans="1:5" ht="15.75" x14ac:dyDescent="0.25">
      <c r="A25" s="90" t="s">
        <v>105</v>
      </c>
      <c r="B25" s="78">
        <v>92600</v>
      </c>
      <c r="C25" s="78">
        <f t="shared" si="0"/>
        <v>35188</v>
      </c>
      <c r="D25" s="109">
        <f t="shared" si="1"/>
        <v>12778.8</v>
      </c>
      <c r="E25" s="109">
        <f t="shared" si="2"/>
        <v>17890.32</v>
      </c>
    </row>
    <row r="26" spans="1:5" ht="15.75" x14ac:dyDescent="0.25">
      <c r="A26" s="90" t="s">
        <v>102</v>
      </c>
      <c r="B26" s="78">
        <v>92600</v>
      </c>
      <c r="C26" s="78">
        <f t="shared" si="0"/>
        <v>35188</v>
      </c>
      <c r="D26" s="109">
        <f t="shared" si="1"/>
        <v>12778.8</v>
      </c>
      <c r="E26" s="109">
        <f t="shared" si="2"/>
        <v>17890.32</v>
      </c>
    </row>
    <row r="27" spans="1:5" ht="15.75" x14ac:dyDescent="0.25">
      <c r="A27" s="90" t="s">
        <v>103</v>
      </c>
      <c r="B27" s="78">
        <v>161800</v>
      </c>
      <c r="C27" s="78">
        <f t="shared" si="0"/>
        <v>61484</v>
      </c>
      <c r="D27" s="109">
        <f t="shared" si="1"/>
        <v>22328.400000000001</v>
      </c>
      <c r="E27" s="109">
        <f t="shared" si="2"/>
        <v>31259.760000000002</v>
      </c>
    </row>
    <row r="28" spans="1:5" ht="15.75" x14ac:dyDescent="0.25">
      <c r="A28" s="90" t="s">
        <v>109</v>
      </c>
      <c r="B28" s="78">
        <v>195700</v>
      </c>
      <c r="C28" s="78">
        <f t="shared" si="0"/>
        <v>74366</v>
      </c>
      <c r="D28" s="109">
        <f t="shared" si="1"/>
        <v>27006.6</v>
      </c>
      <c r="E28" s="109">
        <f t="shared" si="2"/>
        <v>37809.24</v>
      </c>
    </row>
    <row r="29" spans="1:5" ht="15.75" x14ac:dyDescent="0.25">
      <c r="A29" s="90" t="s">
        <v>112</v>
      </c>
      <c r="B29" s="78">
        <v>89900</v>
      </c>
      <c r="C29" s="78">
        <f t="shared" si="0"/>
        <v>34162</v>
      </c>
      <c r="D29" s="109">
        <f t="shared" si="1"/>
        <v>12406.2</v>
      </c>
      <c r="E29" s="109">
        <f t="shared" si="2"/>
        <v>17368.68</v>
      </c>
    </row>
    <row r="30" spans="1:5" ht="15.75" x14ac:dyDescent="0.25">
      <c r="A30" s="90" t="s">
        <v>51</v>
      </c>
      <c r="B30" s="55">
        <v>96900</v>
      </c>
      <c r="C30" s="103">
        <f t="shared" si="0"/>
        <v>36822</v>
      </c>
      <c r="D30" s="109">
        <f t="shared" si="1"/>
        <v>13372.2</v>
      </c>
      <c r="E30" s="109">
        <f t="shared" si="2"/>
        <v>18721.080000000002</v>
      </c>
    </row>
    <row r="31" spans="1:5" ht="15.75" x14ac:dyDescent="0.25">
      <c r="A31" s="80" t="s">
        <v>99</v>
      </c>
      <c r="B31" s="59">
        <v>82200</v>
      </c>
      <c r="C31" s="59">
        <f t="shared" si="0"/>
        <v>31236</v>
      </c>
      <c r="D31" s="109">
        <f t="shared" si="1"/>
        <v>11343.6</v>
      </c>
      <c r="E31" s="109">
        <f t="shared" si="2"/>
        <v>15881.039999999999</v>
      </c>
    </row>
    <row r="32" spans="1:5" ht="15.75" x14ac:dyDescent="0.25">
      <c r="A32" s="80" t="s">
        <v>131</v>
      </c>
      <c r="B32" s="59">
        <v>69700</v>
      </c>
      <c r="C32" s="59">
        <f t="shared" si="0"/>
        <v>26486</v>
      </c>
      <c r="D32" s="109">
        <f t="shared" si="1"/>
        <v>9618.6</v>
      </c>
      <c r="E32" s="109">
        <f t="shared" si="2"/>
        <v>13466.039999999999</v>
      </c>
    </row>
    <row r="33" spans="1:5" ht="15.75" x14ac:dyDescent="0.25">
      <c r="A33" s="80" t="s">
        <v>132</v>
      </c>
      <c r="B33" s="59">
        <v>69700</v>
      </c>
      <c r="C33" s="59">
        <f t="shared" ref="C33:C50" si="3">ROUND(B33*38%,0)</f>
        <v>26486</v>
      </c>
      <c r="D33" s="109">
        <f t="shared" si="1"/>
        <v>9618.6</v>
      </c>
      <c r="E33" s="109">
        <f t="shared" si="2"/>
        <v>13466.039999999999</v>
      </c>
    </row>
    <row r="34" spans="1:5" ht="15.75" x14ac:dyDescent="0.25">
      <c r="A34" s="80" t="s">
        <v>72</v>
      </c>
      <c r="B34" s="59">
        <v>49000</v>
      </c>
      <c r="C34" s="59">
        <f t="shared" si="3"/>
        <v>18620</v>
      </c>
      <c r="D34" s="109">
        <f t="shared" si="1"/>
        <v>6762</v>
      </c>
      <c r="E34" s="109">
        <f t="shared" si="2"/>
        <v>9466.7999999999993</v>
      </c>
    </row>
    <row r="35" spans="1:5" ht="15.75" x14ac:dyDescent="0.25">
      <c r="A35" s="80" t="s">
        <v>27</v>
      </c>
      <c r="B35" s="59">
        <v>49000</v>
      </c>
      <c r="C35" s="59">
        <f t="shared" si="3"/>
        <v>18620</v>
      </c>
      <c r="D35" s="109">
        <f t="shared" si="1"/>
        <v>6762</v>
      </c>
      <c r="E35" s="109">
        <f t="shared" si="2"/>
        <v>9466.7999999999993</v>
      </c>
    </row>
    <row r="36" spans="1:5" ht="15.75" x14ac:dyDescent="0.25">
      <c r="A36" s="80" t="s">
        <v>29</v>
      </c>
      <c r="B36" s="59">
        <v>49000</v>
      </c>
      <c r="C36" s="59">
        <f t="shared" si="3"/>
        <v>18620</v>
      </c>
      <c r="D36" s="109">
        <f t="shared" si="1"/>
        <v>6762</v>
      </c>
      <c r="E36" s="109">
        <f t="shared" si="2"/>
        <v>9466.7999999999993</v>
      </c>
    </row>
    <row r="37" spans="1:5" ht="15.75" x14ac:dyDescent="0.25">
      <c r="A37" s="80" t="s">
        <v>31</v>
      </c>
      <c r="B37" s="59">
        <v>31900</v>
      </c>
      <c r="C37" s="59">
        <f>ROUND(B37*38%,0)</f>
        <v>12122</v>
      </c>
      <c r="D37" s="109">
        <f t="shared" si="1"/>
        <v>4402.2</v>
      </c>
      <c r="E37" s="109">
        <f t="shared" si="2"/>
        <v>6163.08</v>
      </c>
    </row>
    <row r="38" spans="1:5" ht="15.75" x14ac:dyDescent="0.25">
      <c r="A38" s="80" t="s">
        <v>33</v>
      </c>
      <c r="B38" s="59">
        <v>38700</v>
      </c>
      <c r="C38" s="59">
        <f t="shared" si="3"/>
        <v>14706</v>
      </c>
      <c r="D38" s="109">
        <f t="shared" si="1"/>
        <v>5340.6</v>
      </c>
      <c r="E38" s="109">
        <f t="shared" si="2"/>
        <v>7476.8400000000011</v>
      </c>
    </row>
    <row r="39" spans="1:5" ht="15.75" x14ac:dyDescent="0.25">
      <c r="A39" s="80" t="s">
        <v>35</v>
      </c>
      <c r="B39" s="66">
        <v>38700</v>
      </c>
      <c r="C39" s="59">
        <f t="shared" si="3"/>
        <v>14706</v>
      </c>
      <c r="D39" s="109">
        <f t="shared" si="1"/>
        <v>5340.6</v>
      </c>
      <c r="E39" s="109">
        <f t="shared" si="2"/>
        <v>7476.8400000000011</v>
      </c>
    </row>
    <row r="40" spans="1:5" ht="15.75" x14ac:dyDescent="0.25">
      <c r="A40" s="80" t="s">
        <v>39</v>
      </c>
      <c r="B40" s="55">
        <v>22400</v>
      </c>
      <c r="C40" s="59">
        <f t="shared" si="3"/>
        <v>8512</v>
      </c>
      <c r="D40" s="109">
        <f t="shared" si="1"/>
        <v>3091.2</v>
      </c>
      <c r="E40" s="109">
        <f t="shared" si="2"/>
        <v>4327.6799999999994</v>
      </c>
    </row>
    <row r="41" spans="1:5" ht="15.75" x14ac:dyDescent="0.25">
      <c r="A41" s="80" t="s">
        <v>41</v>
      </c>
      <c r="B41" s="55">
        <v>22400</v>
      </c>
      <c r="C41" s="59">
        <f t="shared" si="3"/>
        <v>8512</v>
      </c>
      <c r="D41" s="109">
        <f t="shared" si="1"/>
        <v>3091.2</v>
      </c>
      <c r="E41" s="109">
        <f t="shared" si="2"/>
        <v>4327.6799999999994</v>
      </c>
    </row>
    <row r="42" spans="1:5" ht="15.75" x14ac:dyDescent="0.25">
      <c r="A42" s="80" t="s">
        <v>106</v>
      </c>
      <c r="B42" s="55">
        <v>22400</v>
      </c>
      <c r="C42" s="59">
        <f t="shared" si="3"/>
        <v>8512</v>
      </c>
      <c r="D42" s="109">
        <f t="shared" si="1"/>
        <v>3091.2</v>
      </c>
      <c r="E42" s="109">
        <f t="shared" si="2"/>
        <v>4327.6799999999994</v>
      </c>
    </row>
    <row r="43" spans="1:5" ht="15.75" x14ac:dyDescent="0.25">
      <c r="A43" s="80" t="s">
        <v>107</v>
      </c>
      <c r="B43" s="55">
        <v>22400</v>
      </c>
      <c r="C43" s="59">
        <f t="shared" si="3"/>
        <v>8512</v>
      </c>
      <c r="D43" s="109">
        <f t="shared" si="1"/>
        <v>3091.2</v>
      </c>
      <c r="E43" s="109">
        <f t="shared" si="2"/>
        <v>4327.6799999999994</v>
      </c>
    </row>
    <row r="44" spans="1:5" ht="15.75" x14ac:dyDescent="0.25">
      <c r="A44" s="80" t="s">
        <v>108</v>
      </c>
      <c r="B44" s="55">
        <v>22400</v>
      </c>
      <c r="C44" s="59">
        <f t="shared" si="3"/>
        <v>8512</v>
      </c>
      <c r="D44" s="109">
        <f t="shared" si="1"/>
        <v>3091.2</v>
      </c>
      <c r="E44" s="109">
        <f t="shared" si="2"/>
        <v>4327.6799999999994</v>
      </c>
    </row>
    <row r="45" spans="1:5" ht="15.75" x14ac:dyDescent="0.25">
      <c r="A45" s="80" t="s">
        <v>110</v>
      </c>
      <c r="B45" s="55">
        <v>22400</v>
      </c>
      <c r="C45" s="59">
        <f t="shared" si="3"/>
        <v>8512</v>
      </c>
      <c r="D45" s="109">
        <f t="shared" si="1"/>
        <v>3091.2</v>
      </c>
      <c r="E45" s="109">
        <f t="shared" si="2"/>
        <v>4327.6799999999994</v>
      </c>
    </row>
    <row r="46" spans="1:5" ht="15.75" x14ac:dyDescent="0.25">
      <c r="A46" s="80" t="s">
        <v>111</v>
      </c>
      <c r="B46" s="55">
        <v>22400</v>
      </c>
      <c r="C46" s="59">
        <f t="shared" si="3"/>
        <v>8512</v>
      </c>
      <c r="D46" s="109">
        <f t="shared" si="1"/>
        <v>3091.2</v>
      </c>
      <c r="E46" s="109">
        <f t="shared" si="2"/>
        <v>4327.6799999999994</v>
      </c>
    </row>
    <row r="47" spans="1:5" ht="15.75" x14ac:dyDescent="0.25">
      <c r="A47" s="80" t="s">
        <v>113</v>
      </c>
      <c r="B47" s="55">
        <v>22400</v>
      </c>
      <c r="C47" s="59">
        <f t="shared" si="3"/>
        <v>8512</v>
      </c>
      <c r="D47" s="109">
        <f t="shared" si="1"/>
        <v>3091.2</v>
      </c>
      <c r="E47" s="109">
        <f t="shared" si="2"/>
        <v>4327.6799999999994</v>
      </c>
    </row>
    <row r="48" spans="1:5" ht="15.75" x14ac:dyDescent="0.25">
      <c r="A48" s="80" t="s">
        <v>114</v>
      </c>
      <c r="B48" s="55">
        <v>22400</v>
      </c>
      <c r="C48" s="59">
        <f t="shared" si="3"/>
        <v>8512</v>
      </c>
      <c r="D48" s="109">
        <f t="shared" si="1"/>
        <v>3091.2</v>
      </c>
      <c r="E48" s="109">
        <f t="shared" si="2"/>
        <v>4327.6799999999994</v>
      </c>
    </row>
    <row r="49" spans="1:5" ht="15.75" x14ac:dyDescent="0.25">
      <c r="A49" s="81" t="s">
        <v>115</v>
      </c>
      <c r="B49" s="70">
        <v>22400</v>
      </c>
      <c r="C49" s="66">
        <f t="shared" si="3"/>
        <v>8512</v>
      </c>
      <c r="D49" s="109">
        <f t="shared" si="1"/>
        <v>3091.2</v>
      </c>
      <c r="E49" s="109">
        <f t="shared" si="2"/>
        <v>4327.6799999999994</v>
      </c>
    </row>
    <row r="50" spans="1:5" ht="15.75" x14ac:dyDescent="0.25">
      <c r="A50" s="80" t="s">
        <v>116</v>
      </c>
      <c r="B50" s="55">
        <v>22400</v>
      </c>
      <c r="C50" s="55">
        <f t="shared" si="3"/>
        <v>8512</v>
      </c>
      <c r="D50" s="109">
        <f t="shared" si="1"/>
        <v>3091.2</v>
      </c>
      <c r="E50" s="109">
        <f t="shared" si="2"/>
        <v>4327.6799999999994</v>
      </c>
    </row>
    <row r="51" spans="1:5" ht="15.75" x14ac:dyDescent="0.25">
      <c r="A51" s="110" t="s">
        <v>154</v>
      </c>
      <c r="B51" s="74">
        <f>+SUM(B3:B50)</f>
        <v>3872600</v>
      </c>
      <c r="C51" s="74">
        <f>+SUM(C3:C50)</f>
        <v>1471588</v>
      </c>
      <c r="D51" s="74">
        <f>+SUM(D3:D50)</f>
        <v>534418.79999999993</v>
      </c>
      <c r="E51" s="74">
        <f>+SUM(E3:E50)</f>
        <v>748186.32000000088</v>
      </c>
    </row>
    <row r="52" spans="1:5" ht="31.5" x14ac:dyDescent="0.25">
      <c r="A52" s="110" t="s">
        <v>155</v>
      </c>
      <c r="B52" s="429"/>
      <c r="C52" s="430"/>
      <c r="D52" s="113">
        <f>+D51*11</f>
        <v>5878606.7999999989</v>
      </c>
      <c r="E52" s="113">
        <f>+E51*11</f>
        <v>8230049.5200000098</v>
      </c>
    </row>
    <row r="53" spans="1:5" ht="31.5" x14ac:dyDescent="0.25">
      <c r="A53" s="110" t="s">
        <v>156</v>
      </c>
      <c r="B53" s="429"/>
      <c r="C53" s="430"/>
      <c r="D53" s="113">
        <f>+D51*12</f>
        <v>6413025.5999999996</v>
      </c>
      <c r="E53" s="113">
        <f>+E51*12</f>
        <v>8978235.840000011</v>
      </c>
    </row>
  </sheetData>
  <mergeCells count="3">
    <mergeCell ref="A1:E1"/>
    <mergeCell ref="B52:C52"/>
    <mergeCell ref="B53:C53"/>
  </mergeCells>
  <conditionalFormatting sqref="A3:A29">
    <cfRule type="duplicateValues" dxfId="21" priority="8"/>
  </conditionalFormatting>
  <conditionalFormatting sqref="A37:A50">
    <cfRule type="duplicateValues" dxfId="20" priority="7"/>
  </conditionalFormatting>
  <conditionalFormatting sqref="A31:A36">
    <cfRule type="duplicateValues" dxfId="19" priority="58"/>
  </conditionalFormatting>
  <conditionalFormatting sqref="A30">
    <cfRule type="duplicateValues" dxfId="18" priority="5"/>
  </conditionalFormatting>
  <conditionalFormatting sqref="A2:D2">
    <cfRule type="duplicateValues" dxfId="17" priority="4"/>
  </conditionalFormatting>
  <conditionalFormatting sqref="E2">
    <cfRule type="duplicateValues" dxfId="16" priority="3"/>
  </conditionalFormatting>
  <conditionalFormatting sqref="A51:A53">
    <cfRule type="duplicateValues" dxfId="15" priority="2"/>
  </conditionalFormatting>
  <conditionalFormatting sqref="A1">
    <cfRule type="duplicateValues" dxfId="14" priority="1"/>
  </conditionalFormatting>
  <pageMargins left="0.7" right="0.7" top="0.75" bottom="0.75" header="0.3" footer="0.3"/>
  <pageSetup paperSize="9" scale="85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E80"/>
  <sheetViews>
    <sheetView topLeftCell="A51" workbookViewId="0">
      <selection activeCell="A55" sqref="A55:E80"/>
    </sheetView>
  </sheetViews>
  <sheetFormatPr defaultRowHeight="15" x14ac:dyDescent="0.25"/>
  <cols>
    <col min="1" max="1" width="36.5703125" bestFit="1" customWidth="1"/>
    <col min="2" max="2" width="17" customWidth="1"/>
    <col min="3" max="3" width="16.7109375" customWidth="1"/>
    <col min="4" max="4" width="14.42578125" customWidth="1"/>
    <col min="5" max="5" width="25.7109375" customWidth="1"/>
  </cols>
  <sheetData>
    <row r="1" spans="1:5" ht="16.5" thickBot="1" x14ac:dyDescent="0.3">
      <c r="A1" s="426" t="s">
        <v>157</v>
      </c>
      <c r="B1" s="427"/>
      <c r="C1" s="427"/>
      <c r="D1" s="427"/>
      <c r="E1" s="428"/>
    </row>
    <row r="2" spans="1:5" ht="15.75" x14ac:dyDescent="0.25">
      <c r="A2" s="111" t="s">
        <v>1</v>
      </c>
      <c r="B2" s="111" t="s">
        <v>6</v>
      </c>
      <c r="C2" s="111" t="s">
        <v>151</v>
      </c>
      <c r="D2" s="111" t="s">
        <v>152</v>
      </c>
      <c r="E2" s="111" t="s">
        <v>153</v>
      </c>
    </row>
    <row r="3" spans="1:5" ht="15.75" x14ac:dyDescent="0.25">
      <c r="A3" s="108" t="s">
        <v>57</v>
      </c>
      <c r="B3" s="109">
        <v>131400</v>
      </c>
      <c r="C3" s="109">
        <f t="shared" ref="C3:C29" si="0">ROUND(B3*38%,0)</f>
        <v>49932</v>
      </c>
      <c r="D3" s="109">
        <f>+SUM(B3:C3)*10/100</f>
        <v>18133.2</v>
      </c>
      <c r="E3" s="109">
        <f>+D3*14/10</f>
        <v>25386.480000000003</v>
      </c>
    </row>
    <row r="4" spans="1:5" ht="15.75" x14ac:dyDescent="0.25">
      <c r="A4" s="90" t="s">
        <v>54</v>
      </c>
      <c r="B4" s="78">
        <v>131400</v>
      </c>
      <c r="C4" s="78">
        <f t="shared" si="0"/>
        <v>49932</v>
      </c>
      <c r="D4" s="109">
        <f t="shared" ref="D4:D51" si="1">+SUM(B4:C4)*10/100</f>
        <v>18133.2</v>
      </c>
      <c r="E4" s="109">
        <f t="shared" ref="E4:E51" si="2">+D4*14/10</f>
        <v>25386.480000000003</v>
      </c>
    </row>
    <row r="5" spans="1:5" ht="15.75" x14ac:dyDescent="0.25">
      <c r="A5" s="90" t="s">
        <v>59</v>
      </c>
      <c r="B5" s="78">
        <v>131400</v>
      </c>
      <c r="C5" s="78">
        <f t="shared" si="0"/>
        <v>49932</v>
      </c>
      <c r="D5" s="109">
        <f t="shared" si="1"/>
        <v>18133.2</v>
      </c>
      <c r="E5" s="109">
        <f t="shared" si="2"/>
        <v>25386.480000000003</v>
      </c>
    </row>
    <row r="6" spans="1:5" ht="15.75" x14ac:dyDescent="0.25">
      <c r="A6" s="90" t="s">
        <v>62</v>
      </c>
      <c r="B6" s="78">
        <v>131400</v>
      </c>
      <c r="C6" s="78">
        <f t="shared" si="0"/>
        <v>49932</v>
      </c>
      <c r="D6" s="109">
        <f t="shared" si="1"/>
        <v>18133.2</v>
      </c>
      <c r="E6" s="109">
        <f t="shared" si="2"/>
        <v>25386.480000000003</v>
      </c>
    </row>
    <row r="7" spans="1:5" ht="15.75" x14ac:dyDescent="0.25">
      <c r="A7" s="90" t="s">
        <v>60</v>
      </c>
      <c r="B7" s="78">
        <v>131400</v>
      </c>
      <c r="C7" s="78">
        <f t="shared" si="0"/>
        <v>49932</v>
      </c>
      <c r="D7" s="109">
        <f t="shared" si="1"/>
        <v>18133.2</v>
      </c>
      <c r="E7" s="109">
        <f t="shared" si="2"/>
        <v>25386.480000000003</v>
      </c>
    </row>
    <row r="8" spans="1:5" ht="15.75" x14ac:dyDescent="0.25">
      <c r="A8" s="90" t="s">
        <v>64</v>
      </c>
      <c r="B8" s="78">
        <v>131400</v>
      </c>
      <c r="C8" s="78">
        <f t="shared" si="0"/>
        <v>49932</v>
      </c>
      <c r="D8" s="109">
        <f t="shared" si="1"/>
        <v>18133.2</v>
      </c>
      <c r="E8" s="109">
        <f t="shared" si="2"/>
        <v>25386.480000000003</v>
      </c>
    </row>
    <row r="9" spans="1:5" ht="15.75" x14ac:dyDescent="0.25">
      <c r="A9" s="90" t="s">
        <v>58</v>
      </c>
      <c r="B9" s="78">
        <v>131400</v>
      </c>
      <c r="C9" s="78">
        <f t="shared" si="0"/>
        <v>49932</v>
      </c>
      <c r="D9" s="109">
        <f t="shared" si="1"/>
        <v>18133.2</v>
      </c>
      <c r="E9" s="109">
        <f t="shared" si="2"/>
        <v>25386.480000000003</v>
      </c>
    </row>
    <row r="10" spans="1:5" ht="15.75" x14ac:dyDescent="0.25">
      <c r="A10" s="90" t="s">
        <v>66</v>
      </c>
      <c r="B10" s="78">
        <v>131400</v>
      </c>
      <c r="C10" s="78">
        <f t="shared" si="0"/>
        <v>49932</v>
      </c>
      <c r="D10" s="109">
        <f t="shared" si="1"/>
        <v>18133.2</v>
      </c>
      <c r="E10" s="109">
        <f t="shared" si="2"/>
        <v>25386.480000000003</v>
      </c>
    </row>
    <row r="11" spans="1:5" ht="15.75" x14ac:dyDescent="0.25">
      <c r="A11" s="90" t="s">
        <v>52</v>
      </c>
      <c r="B11" s="78">
        <v>131400</v>
      </c>
      <c r="C11" s="78">
        <f t="shared" si="0"/>
        <v>49932</v>
      </c>
      <c r="D11" s="109">
        <f t="shared" si="1"/>
        <v>18133.2</v>
      </c>
      <c r="E11" s="109">
        <f t="shared" si="2"/>
        <v>25386.480000000003</v>
      </c>
    </row>
    <row r="12" spans="1:5" ht="15.75" x14ac:dyDescent="0.25">
      <c r="A12" s="90" t="s">
        <v>55</v>
      </c>
      <c r="B12" s="78">
        <v>131400</v>
      </c>
      <c r="C12" s="78">
        <f t="shared" si="0"/>
        <v>49932</v>
      </c>
      <c r="D12" s="109">
        <f t="shared" si="1"/>
        <v>18133.2</v>
      </c>
      <c r="E12" s="109">
        <f t="shared" si="2"/>
        <v>25386.480000000003</v>
      </c>
    </row>
    <row r="13" spans="1:5" ht="15.75" x14ac:dyDescent="0.25">
      <c r="A13" s="90" t="s">
        <v>24</v>
      </c>
      <c r="B13" s="78">
        <v>110800</v>
      </c>
      <c r="C13" s="78">
        <f t="shared" si="0"/>
        <v>42104</v>
      </c>
      <c r="D13" s="109">
        <f t="shared" si="1"/>
        <v>15290.4</v>
      </c>
      <c r="E13" s="109">
        <f t="shared" si="2"/>
        <v>21406.560000000001</v>
      </c>
    </row>
    <row r="14" spans="1:5" ht="15.75" x14ac:dyDescent="0.25">
      <c r="A14" s="90" t="s">
        <v>61</v>
      </c>
      <c r="B14" s="78">
        <v>110800</v>
      </c>
      <c r="C14" s="78">
        <f t="shared" si="0"/>
        <v>42104</v>
      </c>
      <c r="D14" s="109">
        <f t="shared" si="1"/>
        <v>15290.4</v>
      </c>
      <c r="E14" s="109">
        <f t="shared" si="2"/>
        <v>21406.560000000001</v>
      </c>
    </row>
    <row r="15" spans="1:5" ht="15.75" x14ac:dyDescent="0.25">
      <c r="A15" s="90" t="s">
        <v>63</v>
      </c>
      <c r="B15" s="78">
        <v>107600</v>
      </c>
      <c r="C15" s="78">
        <f t="shared" si="0"/>
        <v>40888</v>
      </c>
      <c r="D15" s="109">
        <f t="shared" si="1"/>
        <v>14848.8</v>
      </c>
      <c r="E15" s="109">
        <f t="shared" si="2"/>
        <v>20788.32</v>
      </c>
    </row>
    <row r="16" spans="1:5" ht="15.75" x14ac:dyDescent="0.25">
      <c r="A16" s="90" t="s">
        <v>71</v>
      </c>
      <c r="B16" s="78">
        <v>107600</v>
      </c>
      <c r="C16" s="78">
        <f t="shared" si="0"/>
        <v>40888</v>
      </c>
      <c r="D16" s="109">
        <f t="shared" si="1"/>
        <v>14848.8</v>
      </c>
      <c r="E16" s="109">
        <f t="shared" si="2"/>
        <v>20788.32</v>
      </c>
    </row>
    <row r="17" spans="1:5" ht="15.75" x14ac:dyDescent="0.25">
      <c r="A17" s="90" t="s">
        <v>69</v>
      </c>
      <c r="B17" s="78">
        <v>104500</v>
      </c>
      <c r="C17" s="78">
        <f t="shared" si="0"/>
        <v>39710</v>
      </c>
      <c r="D17" s="109">
        <f t="shared" si="1"/>
        <v>14421</v>
      </c>
      <c r="E17" s="109">
        <f t="shared" si="2"/>
        <v>20189.400000000001</v>
      </c>
    </row>
    <row r="18" spans="1:5" ht="15.75" x14ac:dyDescent="0.25">
      <c r="A18" s="90" t="s">
        <v>68</v>
      </c>
      <c r="B18" s="78">
        <v>104500</v>
      </c>
      <c r="C18" s="78">
        <f t="shared" si="0"/>
        <v>39710</v>
      </c>
      <c r="D18" s="109">
        <f t="shared" si="1"/>
        <v>14421</v>
      </c>
      <c r="E18" s="109">
        <f t="shared" si="2"/>
        <v>20189.400000000001</v>
      </c>
    </row>
    <row r="19" spans="1:5" ht="15.75" x14ac:dyDescent="0.25">
      <c r="A19" s="90" t="s">
        <v>65</v>
      </c>
      <c r="B19" s="78">
        <v>104500</v>
      </c>
      <c r="C19" s="78">
        <f t="shared" si="0"/>
        <v>39710</v>
      </c>
      <c r="D19" s="109">
        <f t="shared" si="1"/>
        <v>14421</v>
      </c>
      <c r="E19" s="109">
        <f t="shared" si="2"/>
        <v>20189.400000000001</v>
      </c>
    </row>
    <row r="20" spans="1:5" ht="15.75" x14ac:dyDescent="0.25">
      <c r="A20" s="90" t="s">
        <v>95</v>
      </c>
      <c r="B20" s="78">
        <v>70900</v>
      </c>
      <c r="C20" s="78">
        <f t="shared" si="0"/>
        <v>26942</v>
      </c>
      <c r="D20" s="109">
        <f t="shared" si="1"/>
        <v>9784.2000000000007</v>
      </c>
      <c r="E20" s="109">
        <f t="shared" si="2"/>
        <v>13697.880000000001</v>
      </c>
    </row>
    <row r="21" spans="1:5" ht="15.75" x14ac:dyDescent="0.25">
      <c r="A21" s="90" t="s">
        <v>96</v>
      </c>
      <c r="B21" s="78">
        <v>70900</v>
      </c>
      <c r="C21" s="78">
        <f t="shared" si="0"/>
        <v>26942</v>
      </c>
      <c r="D21" s="109">
        <f t="shared" si="1"/>
        <v>9784.2000000000007</v>
      </c>
      <c r="E21" s="109">
        <f t="shared" si="2"/>
        <v>13697.880000000001</v>
      </c>
    </row>
    <row r="22" spans="1:5" ht="15.75" x14ac:dyDescent="0.25">
      <c r="A22" s="90" t="s">
        <v>97</v>
      </c>
      <c r="B22" s="78">
        <v>70900</v>
      </c>
      <c r="C22" s="78">
        <f t="shared" si="0"/>
        <v>26942</v>
      </c>
      <c r="D22" s="109">
        <f t="shared" si="1"/>
        <v>9784.2000000000007</v>
      </c>
      <c r="E22" s="109">
        <f t="shared" si="2"/>
        <v>13697.880000000001</v>
      </c>
    </row>
    <row r="23" spans="1:5" ht="15.75" x14ac:dyDescent="0.25">
      <c r="A23" s="90" t="s">
        <v>98</v>
      </c>
      <c r="B23" s="78">
        <v>70900</v>
      </c>
      <c r="C23" s="78">
        <f t="shared" si="0"/>
        <v>26942</v>
      </c>
      <c r="D23" s="109">
        <f t="shared" si="1"/>
        <v>9784.2000000000007</v>
      </c>
      <c r="E23" s="109">
        <f t="shared" si="2"/>
        <v>13697.880000000001</v>
      </c>
    </row>
    <row r="24" spans="1:5" ht="15.75" x14ac:dyDescent="0.25">
      <c r="A24" s="90" t="s">
        <v>104</v>
      </c>
      <c r="B24" s="78">
        <v>70900</v>
      </c>
      <c r="C24" s="78">
        <f t="shared" si="0"/>
        <v>26942</v>
      </c>
      <c r="D24" s="109">
        <f t="shared" si="1"/>
        <v>9784.2000000000007</v>
      </c>
      <c r="E24" s="109">
        <f t="shared" si="2"/>
        <v>13697.880000000001</v>
      </c>
    </row>
    <row r="25" spans="1:5" ht="15.75" x14ac:dyDescent="0.25">
      <c r="A25" s="90" t="s">
        <v>105</v>
      </c>
      <c r="B25" s="78">
        <v>92600</v>
      </c>
      <c r="C25" s="78">
        <f t="shared" si="0"/>
        <v>35188</v>
      </c>
      <c r="D25" s="109">
        <f t="shared" si="1"/>
        <v>12778.8</v>
      </c>
      <c r="E25" s="109">
        <f t="shared" si="2"/>
        <v>17890.32</v>
      </c>
    </row>
    <row r="26" spans="1:5" ht="15.75" x14ac:dyDescent="0.25">
      <c r="A26" s="90" t="s">
        <v>102</v>
      </c>
      <c r="B26" s="78">
        <v>92600</v>
      </c>
      <c r="C26" s="78">
        <f t="shared" si="0"/>
        <v>35188</v>
      </c>
      <c r="D26" s="109">
        <f t="shared" si="1"/>
        <v>12778.8</v>
      </c>
      <c r="E26" s="109">
        <f t="shared" si="2"/>
        <v>17890.32</v>
      </c>
    </row>
    <row r="27" spans="1:5" ht="15.75" x14ac:dyDescent="0.25">
      <c r="A27" s="90" t="s">
        <v>103</v>
      </c>
      <c r="B27" s="78">
        <v>161800</v>
      </c>
      <c r="C27" s="78">
        <f t="shared" si="0"/>
        <v>61484</v>
      </c>
      <c r="D27" s="109">
        <f t="shared" si="1"/>
        <v>22328.400000000001</v>
      </c>
      <c r="E27" s="109">
        <f t="shared" si="2"/>
        <v>31259.760000000002</v>
      </c>
    </row>
    <row r="28" spans="1:5" ht="15.75" x14ac:dyDescent="0.25">
      <c r="A28" s="90" t="s">
        <v>109</v>
      </c>
      <c r="B28" s="78">
        <v>195700</v>
      </c>
      <c r="C28" s="78">
        <f t="shared" si="0"/>
        <v>74366</v>
      </c>
      <c r="D28" s="109">
        <f t="shared" si="1"/>
        <v>27006.6</v>
      </c>
      <c r="E28" s="109">
        <f t="shared" si="2"/>
        <v>37809.24</v>
      </c>
    </row>
    <row r="29" spans="1:5" ht="15.75" x14ac:dyDescent="0.25">
      <c r="A29" s="90" t="s">
        <v>112</v>
      </c>
      <c r="B29" s="78">
        <v>89900</v>
      </c>
      <c r="C29" s="78">
        <f t="shared" si="0"/>
        <v>34162</v>
      </c>
      <c r="D29" s="109">
        <f t="shared" si="1"/>
        <v>12406.2</v>
      </c>
      <c r="E29" s="109">
        <f t="shared" si="2"/>
        <v>17368.68</v>
      </c>
    </row>
    <row r="30" spans="1:5" ht="15.75" x14ac:dyDescent="0.25">
      <c r="A30" s="112" t="s">
        <v>158</v>
      </c>
      <c r="B30" s="113">
        <f>+SUM(B3:B29)</f>
        <v>3051400</v>
      </c>
      <c r="C30" s="113">
        <f>+SUM(C3:C29)</f>
        <v>1159532</v>
      </c>
      <c r="D30" s="113">
        <f>+SUM(D3:D29)</f>
        <v>421093.20000000007</v>
      </c>
      <c r="E30" s="113">
        <f>+SUM(E3:E29)</f>
        <v>589530.48000000021</v>
      </c>
    </row>
    <row r="31" spans="1:5" ht="15.75" x14ac:dyDescent="0.25">
      <c r="A31" s="90" t="s">
        <v>51</v>
      </c>
      <c r="B31" s="55">
        <v>96900</v>
      </c>
      <c r="C31" s="103">
        <f>ROUND(B31*38%,0)</f>
        <v>36822</v>
      </c>
      <c r="D31" s="109">
        <f t="shared" si="1"/>
        <v>13372.2</v>
      </c>
      <c r="E31" s="109">
        <f t="shared" si="2"/>
        <v>18721.080000000002</v>
      </c>
    </row>
    <row r="32" spans="1:5" ht="15.75" x14ac:dyDescent="0.25">
      <c r="A32" s="80" t="s">
        <v>99</v>
      </c>
      <c r="B32" s="59">
        <v>82200</v>
      </c>
      <c r="C32" s="59">
        <f>ROUND(B32*38%,0)</f>
        <v>31236</v>
      </c>
      <c r="D32" s="109">
        <f t="shared" si="1"/>
        <v>11343.6</v>
      </c>
      <c r="E32" s="109">
        <f t="shared" si="2"/>
        <v>15881.039999999999</v>
      </c>
    </row>
    <row r="33" spans="1:5" ht="15.75" x14ac:dyDescent="0.25">
      <c r="A33" s="80" t="s">
        <v>131</v>
      </c>
      <c r="B33" s="59">
        <v>69700</v>
      </c>
      <c r="C33" s="59">
        <f>ROUND(B33*38%,0)</f>
        <v>26486</v>
      </c>
      <c r="D33" s="109">
        <f t="shared" si="1"/>
        <v>9618.6</v>
      </c>
      <c r="E33" s="109">
        <f t="shared" si="2"/>
        <v>13466.039999999999</v>
      </c>
    </row>
    <row r="34" spans="1:5" ht="15.75" x14ac:dyDescent="0.25">
      <c r="A34" s="80" t="s">
        <v>132</v>
      </c>
      <c r="B34" s="59">
        <v>69700</v>
      </c>
      <c r="C34" s="59">
        <f t="shared" ref="C34:C51" si="3">ROUND(B34*38%,0)</f>
        <v>26486</v>
      </c>
      <c r="D34" s="109">
        <f t="shared" si="1"/>
        <v>9618.6</v>
      </c>
      <c r="E34" s="109">
        <f t="shared" si="2"/>
        <v>13466.039999999999</v>
      </c>
    </row>
    <row r="35" spans="1:5" ht="15.75" x14ac:dyDescent="0.25">
      <c r="A35" s="80" t="s">
        <v>72</v>
      </c>
      <c r="B35" s="59">
        <v>49000</v>
      </c>
      <c r="C35" s="59">
        <f t="shared" si="3"/>
        <v>18620</v>
      </c>
      <c r="D35" s="109">
        <f t="shared" si="1"/>
        <v>6762</v>
      </c>
      <c r="E35" s="109">
        <f t="shared" si="2"/>
        <v>9466.7999999999993</v>
      </c>
    </row>
    <row r="36" spans="1:5" ht="15.75" x14ac:dyDescent="0.25">
      <c r="A36" s="80" t="s">
        <v>27</v>
      </c>
      <c r="B36" s="59">
        <v>49000</v>
      </c>
      <c r="C36" s="59">
        <f t="shared" si="3"/>
        <v>18620</v>
      </c>
      <c r="D36" s="109">
        <f t="shared" si="1"/>
        <v>6762</v>
      </c>
      <c r="E36" s="109">
        <f t="shared" si="2"/>
        <v>9466.7999999999993</v>
      </c>
    </row>
    <row r="37" spans="1:5" ht="15.75" x14ac:dyDescent="0.25">
      <c r="A37" s="80" t="s">
        <v>29</v>
      </c>
      <c r="B37" s="59">
        <v>49000</v>
      </c>
      <c r="C37" s="59">
        <f t="shared" si="3"/>
        <v>18620</v>
      </c>
      <c r="D37" s="109">
        <f t="shared" si="1"/>
        <v>6762</v>
      </c>
      <c r="E37" s="109">
        <f t="shared" si="2"/>
        <v>9466.7999999999993</v>
      </c>
    </row>
    <row r="38" spans="1:5" ht="15.75" x14ac:dyDescent="0.25">
      <c r="A38" s="80" t="s">
        <v>31</v>
      </c>
      <c r="B38" s="59">
        <v>31900</v>
      </c>
      <c r="C38" s="59">
        <f>ROUND(B38*38%,0)</f>
        <v>12122</v>
      </c>
      <c r="D38" s="109">
        <f t="shared" si="1"/>
        <v>4402.2</v>
      </c>
      <c r="E38" s="109">
        <f t="shared" si="2"/>
        <v>6163.08</v>
      </c>
    </row>
    <row r="39" spans="1:5" ht="15.75" x14ac:dyDescent="0.25">
      <c r="A39" s="80" t="s">
        <v>33</v>
      </c>
      <c r="B39" s="59">
        <v>38700</v>
      </c>
      <c r="C39" s="59">
        <f t="shared" si="3"/>
        <v>14706</v>
      </c>
      <c r="D39" s="109">
        <f t="shared" si="1"/>
        <v>5340.6</v>
      </c>
      <c r="E39" s="109">
        <f t="shared" si="2"/>
        <v>7476.8400000000011</v>
      </c>
    </row>
    <row r="40" spans="1:5" ht="15.75" x14ac:dyDescent="0.25">
      <c r="A40" s="80" t="s">
        <v>35</v>
      </c>
      <c r="B40" s="66">
        <v>38700</v>
      </c>
      <c r="C40" s="59">
        <f t="shared" si="3"/>
        <v>14706</v>
      </c>
      <c r="D40" s="109">
        <f t="shared" si="1"/>
        <v>5340.6</v>
      </c>
      <c r="E40" s="109">
        <f t="shared" si="2"/>
        <v>7476.8400000000011</v>
      </c>
    </row>
    <row r="41" spans="1:5" ht="15.75" x14ac:dyDescent="0.25">
      <c r="A41" s="80" t="s">
        <v>39</v>
      </c>
      <c r="B41" s="55">
        <v>22400</v>
      </c>
      <c r="C41" s="59">
        <f t="shared" si="3"/>
        <v>8512</v>
      </c>
      <c r="D41" s="109">
        <f t="shared" si="1"/>
        <v>3091.2</v>
      </c>
      <c r="E41" s="109">
        <f t="shared" si="2"/>
        <v>4327.6799999999994</v>
      </c>
    </row>
    <row r="42" spans="1:5" ht="15.75" x14ac:dyDescent="0.25">
      <c r="A42" s="80" t="s">
        <v>41</v>
      </c>
      <c r="B42" s="55">
        <v>22400</v>
      </c>
      <c r="C42" s="59">
        <f t="shared" si="3"/>
        <v>8512</v>
      </c>
      <c r="D42" s="109">
        <f t="shared" si="1"/>
        <v>3091.2</v>
      </c>
      <c r="E42" s="109">
        <f t="shared" si="2"/>
        <v>4327.6799999999994</v>
      </c>
    </row>
    <row r="43" spans="1:5" ht="15.75" x14ac:dyDescent="0.25">
      <c r="A43" s="80" t="s">
        <v>106</v>
      </c>
      <c r="B43" s="55">
        <v>22400</v>
      </c>
      <c r="C43" s="59">
        <f t="shared" si="3"/>
        <v>8512</v>
      </c>
      <c r="D43" s="109">
        <f t="shared" si="1"/>
        <v>3091.2</v>
      </c>
      <c r="E43" s="109">
        <f t="shared" si="2"/>
        <v>4327.6799999999994</v>
      </c>
    </row>
    <row r="44" spans="1:5" ht="15.75" x14ac:dyDescent="0.25">
      <c r="A44" s="80" t="s">
        <v>107</v>
      </c>
      <c r="B44" s="55">
        <v>22400</v>
      </c>
      <c r="C44" s="59">
        <f t="shared" si="3"/>
        <v>8512</v>
      </c>
      <c r="D44" s="109">
        <f t="shared" si="1"/>
        <v>3091.2</v>
      </c>
      <c r="E44" s="109">
        <f t="shared" si="2"/>
        <v>4327.6799999999994</v>
      </c>
    </row>
    <row r="45" spans="1:5" ht="15.75" x14ac:dyDescent="0.25">
      <c r="A45" s="80" t="s">
        <v>108</v>
      </c>
      <c r="B45" s="55">
        <v>22400</v>
      </c>
      <c r="C45" s="59">
        <f t="shared" si="3"/>
        <v>8512</v>
      </c>
      <c r="D45" s="109">
        <f t="shared" si="1"/>
        <v>3091.2</v>
      </c>
      <c r="E45" s="109">
        <f t="shared" si="2"/>
        <v>4327.6799999999994</v>
      </c>
    </row>
    <row r="46" spans="1:5" ht="15.75" x14ac:dyDescent="0.25">
      <c r="A46" s="80" t="s">
        <v>110</v>
      </c>
      <c r="B46" s="55">
        <v>22400</v>
      </c>
      <c r="C46" s="59">
        <f t="shared" si="3"/>
        <v>8512</v>
      </c>
      <c r="D46" s="109">
        <f t="shared" si="1"/>
        <v>3091.2</v>
      </c>
      <c r="E46" s="109">
        <f t="shared" si="2"/>
        <v>4327.6799999999994</v>
      </c>
    </row>
    <row r="47" spans="1:5" ht="15.75" x14ac:dyDescent="0.25">
      <c r="A47" s="80" t="s">
        <v>111</v>
      </c>
      <c r="B47" s="55">
        <v>22400</v>
      </c>
      <c r="C47" s="59">
        <f t="shared" si="3"/>
        <v>8512</v>
      </c>
      <c r="D47" s="109">
        <f t="shared" si="1"/>
        <v>3091.2</v>
      </c>
      <c r="E47" s="109">
        <f t="shared" si="2"/>
        <v>4327.6799999999994</v>
      </c>
    </row>
    <row r="48" spans="1:5" ht="15.75" x14ac:dyDescent="0.25">
      <c r="A48" s="80" t="s">
        <v>113</v>
      </c>
      <c r="B48" s="55">
        <v>22400</v>
      </c>
      <c r="C48" s="59">
        <f t="shared" si="3"/>
        <v>8512</v>
      </c>
      <c r="D48" s="109">
        <f t="shared" si="1"/>
        <v>3091.2</v>
      </c>
      <c r="E48" s="109">
        <f t="shared" si="2"/>
        <v>4327.6799999999994</v>
      </c>
    </row>
    <row r="49" spans="1:5" ht="15.75" x14ac:dyDescent="0.25">
      <c r="A49" s="80" t="s">
        <v>114</v>
      </c>
      <c r="B49" s="55">
        <v>22400</v>
      </c>
      <c r="C49" s="59">
        <f t="shared" si="3"/>
        <v>8512</v>
      </c>
      <c r="D49" s="109">
        <f t="shared" si="1"/>
        <v>3091.2</v>
      </c>
      <c r="E49" s="109">
        <f t="shared" si="2"/>
        <v>4327.6799999999994</v>
      </c>
    </row>
    <row r="50" spans="1:5" ht="15.75" x14ac:dyDescent="0.25">
      <c r="A50" s="81" t="s">
        <v>115</v>
      </c>
      <c r="B50" s="70">
        <v>22400</v>
      </c>
      <c r="C50" s="66">
        <f t="shared" si="3"/>
        <v>8512</v>
      </c>
      <c r="D50" s="109">
        <f t="shared" si="1"/>
        <v>3091.2</v>
      </c>
      <c r="E50" s="109">
        <f t="shared" si="2"/>
        <v>4327.6799999999994</v>
      </c>
    </row>
    <row r="51" spans="1:5" ht="15.75" x14ac:dyDescent="0.25">
      <c r="A51" s="80" t="s">
        <v>116</v>
      </c>
      <c r="B51" s="55">
        <v>22400</v>
      </c>
      <c r="C51" s="55">
        <f t="shared" si="3"/>
        <v>8512</v>
      </c>
      <c r="D51" s="109">
        <f t="shared" si="1"/>
        <v>3091.2</v>
      </c>
      <c r="E51" s="109">
        <f t="shared" si="2"/>
        <v>4327.6799999999994</v>
      </c>
    </row>
    <row r="52" spans="1:5" ht="15.75" x14ac:dyDescent="0.25">
      <c r="A52" s="110" t="s">
        <v>154</v>
      </c>
      <c r="B52" s="74">
        <f>+SUM(B31:B51)</f>
        <v>821200</v>
      </c>
      <c r="C52" s="74">
        <f>+SUM(C31:C51)</f>
        <v>312056</v>
      </c>
      <c r="D52" s="74">
        <f>+SUM(D31:D51)</f>
        <v>113325.59999999998</v>
      </c>
      <c r="E52" s="74">
        <f>+SUM(E31:E51)</f>
        <v>158655.83999999994</v>
      </c>
    </row>
    <row r="55" spans="1:5" ht="31.5" x14ac:dyDescent="0.25">
      <c r="A55" s="110" t="s">
        <v>159</v>
      </c>
      <c r="B55" s="110" t="s">
        <v>6</v>
      </c>
      <c r="C55" s="110" t="s">
        <v>160</v>
      </c>
      <c r="D55" s="110" t="s">
        <v>163</v>
      </c>
      <c r="E55" s="110" t="s">
        <v>164</v>
      </c>
    </row>
    <row r="56" spans="1:5" ht="15.75" x14ac:dyDescent="0.25">
      <c r="A56" s="80" t="s">
        <v>161</v>
      </c>
      <c r="B56" s="55">
        <v>3051400</v>
      </c>
      <c r="C56" s="55">
        <f>+B56*38/100</f>
        <v>1159532</v>
      </c>
      <c r="D56" s="55">
        <f>+SUM(B56:C56)*10/100</f>
        <v>421093.2</v>
      </c>
      <c r="E56" s="55">
        <f>+D56*14/10</f>
        <v>589530.48</v>
      </c>
    </row>
    <row r="57" spans="1:5" ht="15.75" x14ac:dyDescent="0.25">
      <c r="A57" s="80" t="s">
        <v>162</v>
      </c>
      <c r="B57" s="55">
        <v>821200</v>
      </c>
      <c r="C57" s="55">
        <f>+B57*38/100</f>
        <v>312056</v>
      </c>
      <c r="D57" s="55">
        <f>+SUM(B57:C57)*10/100</f>
        <v>113325.6</v>
      </c>
      <c r="E57" s="55">
        <f>+D57*14/10</f>
        <v>158655.84000000003</v>
      </c>
    </row>
    <row r="58" spans="1:5" ht="15.75" x14ac:dyDescent="0.25">
      <c r="A58" s="114" t="s">
        <v>165</v>
      </c>
      <c r="B58" s="431"/>
      <c r="C58" s="432"/>
      <c r="D58" s="55">
        <f>+D56+D57</f>
        <v>534418.80000000005</v>
      </c>
      <c r="E58" s="55">
        <f>+E56+E57</f>
        <v>748186.32000000007</v>
      </c>
    </row>
    <row r="59" spans="1:5" ht="15.75" x14ac:dyDescent="0.25">
      <c r="A59" s="110" t="s">
        <v>166</v>
      </c>
      <c r="B59" s="433"/>
      <c r="C59" s="434"/>
      <c r="D59" s="435"/>
      <c r="E59" s="74">
        <f>+E58*11</f>
        <v>8230049.5200000005</v>
      </c>
    </row>
    <row r="60" spans="1:5" ht="15.75" x14ac:dyDescent="0.25">
      <c r="A60" s="110" t="s">
        <v>167</v>
      </c>
      <c r="B60" s="433"/>
      <c r="C60" s="434"/>
      <c r="D60" s="435"/>
      <c r="E60" s="74">
        <f>+E58*12</f>
        <v>8978235.8399999999</v>
      </c>
    </row>
    <row r="75" spans="1:5" ht="31.5" x14ac:dyDescent="0.25">
      <c r="A75" s="110" t="s">
        <v>159</v>
      </c>
      <c r="B75" s="110" t="s">
        <v>6</v>
      </c>
      <c r="C75" s="110" t="s">
        <v>160</v>
      </c>
      <c r="D75" s="110" t="s">
        <v>163</v>
      </c>
      <c r="E75" s="110" t="s">
        <v>164</v>
      </c>
    </row>
    <row r="76" spans="1:5" ht="15.75" x14ac:dyDescent="0.25">
      <c r="A76" s="80" t="s">
        <v>161</v>
      </c>
      <c r="B76" s="55">
        <v>3051400</v>
      </c>
      <c r="C76" s="55">
        <f>+B76*38/100</f>
        <v>1159532</v>
      </c>
      <c r="D76" s="55">
        <f>+SUM(B76:C76)*10/100</f>
        <v>421093.2</v>
      </c>
      <c r="E76" s="55">
        <f>+D76*14/10</f>
        <v>589530.48</v>
      </c>
    </row>
    <row r="77" spans="1:5" ht="15.75" x14ac:dyDescent="0.25">
      <c r="A77" s="80" t="s">
        <v>162</v>
      </c>
      <c r="B77" s="55">
        <v>821200</v>
      </c>
      <c r="C77" s="55">
        <f>+B77*38/100</f>
        <v>312056</v>
      </c>
      <c r="D77" s="55">
        <f>+SUM(B77:C77)*10/100</f>
        <v>113325.6</v>
      </c>
      <c r="E77" s="55">
        <f>+D77*14/10</f>
        <v>158655.84000000003</v>
      </c>
    </row>
    <row r="78" spans="1:5" ht="15.75" x14ac:dyDescent="0.25">
      <c r="A78" s="114" t="s">
        <v>165</v>
      </c>
      <c r="B78" s="431"/>
      <c r="C78" s="432"/>
      <c r="D78" s="55">
        <f>+D76+D77</f>
        <v>534418.80000000005</v>
      </c>
      <c r="E78" s="55">
        <f>+E76+E77</f>
        <v>748186.32000000007</v>
      </c>
    </row>
    <row r="79" spans="1:5" ht="15.75" x14ac:dyDescent="0.25">
      <c r="A79" s="110" t="s">
        <v>166</v>
      </c>
      <c r="B79" s="433"/>
      <c r="C79" s="434"/>
      <c r="D79" s="435"/>
      <c r="E79" s="74">
        <f>+E78*11</f>
        <v>8230049.5200000005</v>
      </c>
    </row>
    <row r="80" spans="1:5" ht="15.75" x14ac:dyDescent="0.25">
      <c r="A80" s="110" t="s">
        <v>167</v>
      </c>
      <c r="B80" s="433"/>
      <c r="C80" s="434"/>
      <c r="D80" s="435"/>
      <c r="E80" s="74">
        <f>+E78*12</f>
        <v>8978235.8399999999</v>
      </c>
    </row>
  </sheetData>
  <mergeCells count="7">
    <mergeCell ref="B78:C78"/>
    <mergeCell ref="B79:D79"/>
    <mergeCell ref="B80:D80"/>
    <mergeCell ref="A1:E1"/>
    <mergeCell ref="B58:C58"/>
    <mergeCell ref="B59:D59"/>
    <mergeCell ref="B60:D60"/>
  </mergeCells>
  <conditionalFormatting sqref="A3:A30">
    <cfRule type="duplicateValues" dxfId="13" priority="13"/>
  </conditionalFormatting>
  <conditionalFormatting sqref="A38:A51">
    <cfRule type="duplicateValues" dxfId="12" priority="12"/>
  </conditionalFormatting>
  <conditionalFormatting sqref="A32:A37">
    <cfRule type="duplicateValues" dxfId="11" priority="14"/>
  </conditionalFormatting>
  <conditionalFormatting sqref="A31">
    <cfRule type="duplicateValues" dxfId="10" priority="11"/>
  </conditionalFormatting>
  <conditionalFormatting sqref="A2:D2">
    <cfRule type="duplicateValues" dxfId="9" priority="10"/>
  </conditionalFormatting>
  <conditionalFormatting sqref="E2">
    <cfRule type="duplicateValues" dxfId="8" priority="9"/>
  </conditionalFormatting>
  <conditionalFormatting sqref="A1">
    <cfRule type="duplicateValues" dxfId="7" priority="7"/>
  </conditionalFormatting>
  <conditionalFormatting sqref="A52">
    <cfRule type="duplicateValues" dxfId="6" priority="65"/>
  </conditionalFormatting>
  <conditionalFormatting sqref="A55:E55">
    <cfRule type="duplicateValues" dxfId="5" priority="6"/>
  </conditionalFormatting>
  <conditionalFormatting sqref="A56:A57">
    <cfRule type="duplicateValues" dxfId="4" priority="5"/>
  </conditionalFormatting>
  <conditionalFormatting sqref="A59:A60">
    <cfRule type="duplicateValues" dxfId="3" priority="4"/>
  </conditionalFormatting>
  <conditionalFormatting sqref="A75:E75">
    <cfRule type="duplicateValues" dxfId="2" priority="3"/>
  </conditionalFormatting>
  <conditionalFormatting sqref="A76:A77">
    <cfRule type="duplicateValues" dxfId="1" priority="2"/>
  </conditionalFormatting>
  <conditionalFormatting sqref="A79:A80">
    <cfRule type="duplicateValues" dxfId="0" priority="1"/>
  </conditionalFormatting>
  <pageMargins left="0.7" right="0.7" top="0.75" bottom="0.75" header="0.3" footer="0.3"/>
  <pageSetup paperSize="9" scale="5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Contract</vt:lpstr>
      <vt:lpstr>TDS</vt:lpstr>
      <vt:lpstr>Loan recovery </vt:lpstr>
      <vt:lpstr>Arrears on promotion </vt:lpstr>
      <vt:lpstr>Faculty </vt:lpstr>
      <vt:lpstr>Arrears </vt:lpstr>
      <vt:lpstr>Staff</vt:lpstr>
      <vt:lpstr>Director salary</vt:lpstr>
      <vt:lpstr>Arrears</vt:lpstr>
      <vt:lpstr>PV Narayana Rao</vt:lpstr>
      <vt:lpstr>SE Salary </vt:lpstr>
      <vt:lpstr>Staff (2)</vt:lpstr>
      <vt:lpstr>NPS rough </vt:lpstr>
      <vt:lpstr>NPS rough  (2)</vt:lpstr>
      <vt:lpstr>Contract!Print_Area</vt:lpstr>
      <vt:lpstr>'Director salary'!Print_Area</vt:lpstr>
      <vt:lpstr>'Faculty '!Print_Area</vt:lpstr>
      <vt:lpstr>Staff!Print_Area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iipe</dc:creator>
  <cp:lastModifiedBy>IIPE</cp:lastModifiedBy>
  <cp:lastPrinted>2026-07-31T06:41:55Z</cp:lastPrinted>
  <dcterms:created xsi:type="dcterms:W3CDTF">2020-04-30T06:33:09Z</dcterms:created>
  <dcterms:modified xsi:type="dcterms:W3CDTF">2026-09-03T06:22:10Z</dcterms:modified>
</cp:coreProperties>
</file>