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PE\Desktop\"/>
    </mc:Choice>
  </mc:AlternateContent>
  <xr:revisionPtr revIDLastSave="0" documentId="8_{4258EFF7-52C3-45DB-948E-7BB1B7D3EA9E}" xr6:coauthVersionLast="36" xr6:coauthVersionMax="36" xr10:uidLastSave="{00000000-0000-0000-0000-000000000000}"/>
  <bookViews>
    <workbookView xWindow="0" yWindow="0" windowWidth="28800" windowHeight="12225" xr2:uid="{CE11DC75-ACAA-48CF-9D81-58BB5AE850D9}"/>
  </bookViews>
  <sheets>
    <sheet name="Staff" sheetId="1" r:id="rId1"/>
  </sheets>
  <definedNames>
    <definedName name="_xlnm.Print_Area" localSheetId="0">Staff!$B$1:$S$22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4" i="1" l="1"/>
  <c r="J53" i="1"/>
  <c r="I53" i="1"/>
  <c r="H53" i="1"/>
  <c r="G53" i="1"/>
  <c r="F53" i="1"/>
  <c r="L53" i="1" s="1"/>
  <c r="E53" i="1"/>
  <c r="K53" i="1" s="1"/>
  <c r="J52" i="1"/>
  <c r="I52" i="1"/>
  <c r="H52" i="1"/>
  <c r="G52" i="1"/>
  <c r="F52" i="1"/>
  <c r="L52" i="1" s="1"/>
  <c r="E52" i="1"/>
  <c r="K52" i="1" s="1"/>
  <c r="J51" i="1"/>
  <c r="I51" i="1"/>
  <c r="H51" i="1"/>
  <c r="G51" i="1"/>
  <c r="F51" i="1"/>
  <c r="L51" i="1" s="1"/>
  <c r="E51" i="1"/>
  <c r="K51" i="1" s="1"/>
  <c r="J50" i="1"/>
  <c r="I50" i="1"/>
  <c r="H50" i="1"/>
  <c r="G50" i="1"/>
  <c r="F50" i="1"/>
  <c r="L50" i="1" s="1"/>
  <c r="E50" i="1"/>
  <c r="K50" i="1" s="1"/>
  <c r="J49" i="1"/>
  <c r="I49" i="1"/>
  <c r="H49" i="1"/>
  <c r="G49" i="1"/>
  <c r="F49" i="1"/>
  <c r="L49" i="1" s="1"/>
  <c r="E49" i="1"/>
  <c r="K49" i="1" s="1"/>
  <c r="J48" i="1"/>
  <c r="I48" i="1"/>
  <c r="H48" i="1"/>
  <c r="G48" i="1"/>
  <c r="F48" i="1"/>
  <c r="L48" i="1" s="1"/>
  <c r="E48" i="1"/>
  <c r="K48" i="1" s="1"/>
  <c r="J47" i="1"/>
  <c r="I47" i="1"/>
  <c r="H47" i="1"/>
  <c r="G47" i="1"/>
  <c r="F47" i="1"/>
  <c r="L47" i="1" s="1"/>
  <c r="E47" i="1"/>
  <c r="K47" i="1" s="1"/>
  <c r="J46" i="1"/>
  <c r="I46" i="1"/>
  <c r="H46" i="1"/>
  <c r="G46" i="1"/>
  <c r="F46" i="1"/>
  <c r="L46" i="1" s="1"/>
  <c r="E46" i="1"/>
  <c r="K46" i="1" s="1"/>
  <c r="J45" i="1"/>
  <c r="I45" i="1"/>
  <c r="H45" i="1"/>
  <c r="G45" i="1"/>
  <c r="F45" i="1"/>
  <c r="L45" i="1" s="1"/>
  <c r="E45" i="1"/>
  <c r="K45" i="1" s="1"/>
  <c r="K44" i="1"/>
  <c r="O44" i="1" s="1"/>
  <c r="J44" i="1"/>
  <c r="I44" i="1"/>
  <c r="H44" i="1"/>
  <c r="G44" i="1"/>
  <c r="F44" i="1"/>
  <c r="L44" i="1" s="1"/>
  <c r="E44" i="1"/>
  <c r="J43" i="1"/>
  <c r="I43" i="1"/>
  <c r="H43" i="1"/>
  <c r="G43" i="1"/>
  <c r="F43" i="1"/>
  <c r="L43" i="1" s="1"/>
  <c r="E43" i="1"/>
  <c r="K43" i="1" s="1"/>
  <c r="L42" i="1"/>
  <c r="I42" i="1"/>
  <c r="H42" i="1"/>
  <c r="G42" i="1"/>
  <c r="F42" i="1"/>
  <c r="E42" i="1"/>
  <c r="K42" i="1" s="1"/>
  <c r="J41" i="1"/>
  <c r="I41" i="1"/>
  <c r="H41" i="1"/>
  <c r="G41" i="1"/>
  <c r="F41" i="1"/>
  <c r="L41" i="1" s="1"/>
  <c r="E41" i="1"/>
  <c r="K41" i="1" s="1"/>
  <c r="J40" i="1"/>
  <c r="I40" i="1"/>
  <c r="H40" i="1"/>
  <c r="G40" i="1"/>
  <c r="G54" i="1" s="1"/>
  <c r="F40" i="1"/>
  <c r="L40" i="1" s="1"/>
  <c r="E40" i="1"/>
  <c r="K40" i="1" s="1"/>
  <c r="J39" i="1"/>
  <c r="I39" i="1"/>
  <c r="H39" i="1"/>
  <c r="G39" i="1"/>
  <c r="F39" i="1"/>
  <c r="L39" i="1" s="1"/>
  <c r="E39" i="1"/>
  <c r="K39" i="1" s="1"/>
  <c r="J38" i="1"/>
  <c r="I38" i="1"/>
  <c r="H38" i="1"/>
  <c r="G38" i="1"/>
  <c r="F38" i="1"/>
  <c r="L38" i="1" s="1"/>
  <c r="E38" i="1"/>
  <c r="K38" i="1" s="1"/>
  <c r="J37" i="1"/>
  <c r="J54" i="1" s="1"/>
  <c r="I37" i="1"/>
  <c r="I54" i="1" s="1"/>
  <c r="H37" i="1"/>
  <c r="H54" i="1" s="1"/>
  <c r="G37" i="1"/>
  <c r="F37" i="1"/>
  <c r="F54" i="1" s="1"/>
  <c r="E37" i="1"/>
  <c r="E54" i="1" s="1"/>
  <c r="P36" i="1"/>
  <c r="Q22" i="1"/>
  <c r="P22" i="1"/>
  <c r="M22" i="1"/>
  <c r="L22" i="1"/>
  <c r="F22" i="1"/>
  <c r="N21" i="1"/>
  <c r="I21" i="1"/>
  <c r="H21" i="1"/>
  <c r="G21" i="1"/>
  <c r="J20" i="1"/>
  <c r="O20" i="1" s="1"/>
  <c r="I20" i="1"/>
  <c r="H20" i="1"/>
  <c r="G20" i="1"/>
  <c r="N20" i="1" s="1"/>
  <c r="R20" i="1" s="1"/>
  <c r="N19" i="1"/>
  <c r="I19" i="1"/>
  <c r="H19" i="1"/>
  <c r="G19" i="1"/>
  <c r="J18" i="1"/>
  <c r="O18" i="1" s="1"/>
  <c r="I18" i="1"/>
  <c r="H18" i="1"/>
  <c r="G18" i="1"/>
  <c r="N18" i="1" s="1"/>
  <c r="N17" i="1"/>
  <c r="I17" i="1"/>
  <c r="H17" i="1"/>
  <c r="G17" i="1"/>
  <c r="J16" i="1"/>
  <c r="O16" i="1" s="1"/>
  <c r="I16" i="1"/>
  <c r="H16" i="1"/>
  <c r="G16" i="1"/>
  <c r="N16" i="1" s="1"/>
  <c r="R16" i="1" s="1"/>
  <c r="N15" i="1"/>
  <c r="I15" i="1"/>
  <c r="H15" i="1"/>
  <c r="G15" i="1"/>
  <c r="J14" i="1"/>
  <c r="O14" i="1" s="1"/>
  <c r="I14" i="1"/>
  <c r="H14" i="1"/>
  <c r="G14" i="1"/>
  <c r="N14" i="1" s="1"/>
  <c r="R14" i="1" s="1"/>
  <c r="N13" i="1"/>
  <c r="I13" i="1"/>
  <c r="H13" i="1"/>
  <c r="G13" i="1"/>
  <c r="J12" i="1"/>
  <c r="O12" i="1" s="1"/>
  <c r="I12" i="1"/>
  <c r="H12" i="1"/>
  <c r="G12" i="1"/>
  <c r="N12" i="1" s="1"/>
  <c r="N11" i="1"/>
  <c r="I11" i="1"/>
  <c r="H11" i="1"/>
  <c r="G11" i="1"/>
  <c r="J10" i="1"/>
  <c r="O10" i="1" s="1"/>
  <c r="I10" i="1"/>
  <c r="G10" i="1"/>
  <c r="N10" i="1" s="1"/>
  <c r="R10" i="1" s="1"/>
  <c r="N9" i="1"/>
  <c r="K9" i="1"/>
  <c r="J9" i="1"/>
  <c r="O9" i="1" s="1"/>
  <c r="I9" i="1"/>
  <c r="H9" i="1"/>
  <c r="G9" i="1"/>
  <c r="I8" i="1"/>
  <c r="H8" i="1"/>
  <c r="G8" i="1"/>
  <c r="N8" i="1" s="1"/>
  <c r="N7" i="1"/>
  <c r="K7" i="1"/>
  <c r="J7" i="1"/>
  <c r="O7" i="1" s="1"/>
  <c r="I7" i="1"/>
  <c r="H7" i="1"/>
  <c r="G7" i="1"/>
  <c r="I6" i="1"/>
  <c r="I22" i="1" s="1"/>
  <c r="H6" i="1"/>
  <c r="H22" i="1" s="1"/>
  <c r="G6" i="1"/>
  <c r="N6" i="1" s="1"/>
  <c r="N5" i="1"/>
  <c r="K5" i="1"/>
  <c r="J5" i="1"/>
  <c r="G5" i="1"/>
  <c r="G22" i="1" s="1"/>
  <c r="R8" i="1" l="1"/>
  <c r="K11" i="1"/>
  <c r="R21" i="1"/>
  <c r="R9" i="1"/>
  <c r="S9" i="1" s="1"/>
  <c r="K19" i="1"/>
  <c r="O38" i="1"/>
  <c r="M38" i="1"/>
  <c r="P38" i="1" s="1"/>
  <c r="M39" i="1"/>
  <c r="P39" i="1" s="1"/>
  <c r="O39" i="1"/>
  <c r="M40" i="1"/>
  <c r="P40" i="1" s="1"/>
  <c r="N40" i="1"/>
  <c r="O40" i="1"/>
  <c r="O41" i="1"/>
  <c r="M41" i="1"/>
  <c r="P41" i="1" s="1"/>
  <c r="O42" i="1"/>
  <c r="M42" i="1"/>
  <c r="P42" i="1" s="1"/>
  <c r="O43" i="1"/>
  <c r="M43" i="1"/>
  <c r="P43" i="1" s="1"/>
  <c r="N22" i="1"/>
  <c r="R6" i="1"/>
  <c r="R11" i="1"/>
  <c r="O45" i="1"/>
  <c r="M45" i="1"/>
  <c r="P45" i="1" s="1"/>
  <c r="M46" i="1"/>
  <c r="P46" i="1" s="1"/>
  <c r="O46" i="1"/>
  <c r="N46" i="1"/>
  <c r="R46" i="1" s="1"/>
  <c r="M47" i="1"/>
  <c r="P47" i="1" s="1"/>
  <c r="O47" i="1"/>
  <c r="N47" i="1"/>
  <c r="R47" i="1" s="1"/>
  <c r="O48" i="1"/>
  <c r="M48" i="1"/>
  <c r="P48" i="1" s="1"/>
  <c r="O49" i="1"/>
  <c r="M49" i="1"/>
  <c r="P49" i="1" s="1"/>
  <c r="O50" i="1"/>
  <c r="M50" i="1"/>
  <c r="P50" i="1" s="1"/>
  <c r="M51" i="1"/>
  <c r="P51" i="1" s="1"/>
  <c r="O51" i="1"/>
  <c r="M52" i="1"/>
  <c r="P52" i="1" s="1"/>
  <c r="N52" i="1"/>
  <c r="O52" i="1"/>
  <c r="M53" i="1"/>
  <c r="P53" i="1" s="1"/>
  <c r="O53" i="1"/>
  <c r="N53" i="1"/>
  <c r="R53" i="1" s="1"/>
  <c r="S7" i="1"/>
  <c r="R12" i="1"/>
  <c r="K15" i="1"/>
  <c r="R18" i="1"/>
  <c r="R7" i="1"/>
  <c r="R19" i="1"/>
  <c r="O5" i="1"/>
  <c r="R5" i="1" s="1"/>
  <c r="J6" i="1"/>
  <c r="O6" i="1" s="1"/>
  <c r="J8" i="1"/>
  <c r="O8" i="1" s="1"/>
  <c r="K10" i="1"/>
  <c r="S10" i="1" s="1"/>
  <c r="K12" i="1"/>
  <c r="K14" i="1"/>
  <c r="S14" i="1" s="1"/>
  <c r="K16" i="1"/>
  <c r="S16" i="1" s="1"/>
  <c r="K18" i="1"/>
  <c r="S18" i="1" s="1"/>
  <c r="K20" i="1"/>
  <c r="S20" i="1" s="1"/>
  <c r="L37" i="1"/>
  <c r="L54" i="1" s="1"/>
  <c r="K37" i="1"/>
  <c r="K6" i="1"/>
  <c r="S6" i="1" s="1"/>
  <c r="K8" i="1"/>
  <c r="S8" i="1" s="1"/>
  <c r="M44" i="1"/>
  <c r="P44" i="1" s="1"/>
  <c r="J11" i="1"/>
  <c r="O11" i="1" s="1"/>
  <c r="J13" i="1"/>
  <c r="O13" i="1" s="1"/>
  <c r="R13" i="1" s="1"/>
  <c r="J15" i="1"/>
  <c r="O15" i="1" s="1"/>
  <c r="R15" i="1" s="1"/>
  <c r="J17" i="1"/>
  <c r="O17" i="1" s="1"/>
  <c r="R17" i="1" s="1"/>
  <c r="J19" i="1"/>
  <c r="O19" i="1" s="1"/>
  <c r="J21" i="1"/>
  <c r="O21" i="1" s="1"/>
  <c r="N44" i="1"/>
  <c r="R44" i="1" s="1"/>
  <c r="R22" i="1" l="1"/>
  <c r="S5" i="1"/>
  <c r="S15" i="1"/>
  <c r="K17" i="1"/>
  <c r="S17" i="1" s="1"/>
  <c r="R52" i="1"/>
  <c r="N50" i="1"/>
  <c r="R50" i="1" s="1"/>
  <c r="N48" i="1"/>
  <c r="R48" i="1" s="1"/>
  <c r="K54" i="1"/>
  <c r="O37" i="1"/>
  <c r="O54" i="1" s="1"/>
  <c r="M37" i="1"/>
  <c r="S12" i="1"/>
  <c r="N42" i="1"/>
  <c r="R42" i="1" s="1"/>
  <c r="R40" i="1"/>
  <c r="N38" i="1"/>
  <c r="R38" i="1" s="1"/>
  <c r="J22" i="1"/>
  <c r="K21" i="1"/>
  <c r="S21" i="1" s="1"/>
  <c r="N49" i="1"/>
  <c r="R49" i="1" s="1"/>
  <c r="N39" i="1"/>
  <c r="R39" i="1" s="1"/>
  <c r="S19" i="1"/>
  <c r="K22" i="1"/>
  <c r="N51" i="1"/>
  <c r="R51" i="1" s="1"/>
  <c r="N45" i="1"/>
  <c r="R45" i="1" s="1"/>
  <c r="N43" i="1"/>
  <c r="R43" i="1" s="1"/>
  <c r="N41" i="1"/>
  <c r="R41" i="1" s="1"/>
  <c r="K13" i="1"/>
  <c r="S13" i="1" s="1"/>
  <c r="O22" i="1"/>
  <c r="S11" i="1"/>
  <c r="S22" i="1" l="1"/>
  <c r="P37" i="1"/>
  <c r="P54" i="1" s="1"/>
  <c r="M54" i="1"/>
  <c r="N37" i="1"/>
  <c r="N54" i="1" l="1"/>
  <c r="R37" i="1"/>
  <c r="R54" i="1" s="1"/>
</calcChain>
</file>

<file path=xl/sharedStrings.xml><?xml version="1.0" encoding="utf-8"?>
<sst xmlns="http://schemas.openxmlformats.org/spreadsheetml/2006/main" count="171" uniqueCount="96">
  <si>
    <t xml:space="preserve">                     INDIAN INSTITUTE OF PETROLEUM AND ENERGY </t>
  </si>
  <si>
    <t xml:space="preserve">      Salary Statement of Non Teaching Staff for the month of April'26</t>
  </si>
  <si>
    <t>Sl.No</t>
  </si>
  <si>
    <t>Employee No</t>
  </si>
  <si>
    <t>Name of the Employee</t>
  </si>
  <si>
    <t>Designation</t>
  </si>
  <si>
    <t>Pay Scale</t>
  </si>
  <si>
    <t>Basic</t>
  </si>
  <si>
    <t>DA 60%</t>
  </si>
  <si>
    <t>TA</t>
  </si>
  <si>
    <t>HRA 20 %</t>
  </si>
  <si>
    <t>NPS Employer Share</t>
  </si>
  <si>
    <t>Gross salary</t>
  </si>
  <si>
    <t>PT</t>
  </si>
  <si>
    <t>TDS</t>
  </si>
  <si>
    <t xml:space="preserve">NPS Employee share </t>
  </si>
  <si>
    <t xml:space="preserve">NPS Employer share </t>
  </si>
  <si>
    <t>CGHS Contribution</t>
  </si>
  <si>
    <t>Other Recovery</t>
  </si>
  <si>
    <t>Total Deductions</t>
  </si>
  <si>
    <t>Net Salary</t>
  </si>
  <si>
    <t>NT1022</t>
  </si>
  <si>
    <t>Shri. Ramphal Dwivedi</t>
  </si>
  <si>
    <t>Registrar</t>
  </si>
  <si>
    <t>Level-14</t>
  </si>
  <si>
    <t>NT1001</t>
  </si>
  <si>
    <t>Dr. B Murali Krishna</t>
  </si>
  <si>
    <t>Joint Registrar</t>
  </si>
  <si>
    <t>Level-13</t>
  </si>
  <si>
    <t>NT1024</t>
  </si>
  <si>
    <t>Shri P V Narayana Rao</t>
  </si>
  <si>
    <t xml:space="preserve">Superintendent Engineer </t>
  </si>
  <si>
    <t>NT1023</t>
  </si>
  <si>
    <t>Mr. Sanyasi Naidu Paila</t>
  </si>
  <si>
    <t>Junior Technical Officer</t>
  </si>
  <si>
    <t>Level-10</t>
  </si>
  <si>
    <t>NT1002</t>
  </si>
  <si>
    <t>Mr. K Rama Krishna</t>
  </si>
  <si>
    <t>Assistant Registrar</t>
  </si>
  <si>
    <t>NT1004</t>
  </si>
  <si>
    <t>Mrs. Ch Kalika Devi</t>
  </si>
  <si>
    <t>NT1006</t>
  </si>
  <si>
    <t>Mr. G. Shiva Kumar</t>
  </si>
  <si>
    <t>Assistant Engineer</t>
  </si>
  <si>
    <t>Level-7</t>
  </si>
  <si>
    <t>NT1007</t>
  </si>
  <si>
    <t xml:space="preserve">Mr. K Nagesh </t>
  </si>
  <si>
    <t>NT1005</t>
  </si>
  <si>
    <t>Mr. Y Rama Rao</t>
  </si>
  <si>
    <t xml:space="preserve">Junior Superintendent </t>
  </si>
  <si>
    <t>Level-6</t>
  </si>
  <si>
    <t>NT1013</t>
  </si>
  <si>
    <t>Mr. Somesh Katta</t>
  </si>
  <si>
    <t>Senior Lab.Asst</t>
  </si>
  <si>
    <t>Level-5</t>
  </si>
  <si>
    <t>NT1014</t>
  </si>
  <si>
    <t>Mr. Surendra Ratnala</t>
  </si>
  <si>
    <t xml:space="preserve">Senior Assistant </t>
  </si>
  <si>
    <t>NT1015</t>
  </si>
  <si>
    <t>Dr. Satyaprasad Yerra</t>
  </si>
  <si>
    <t>NT1016</t>
  </si>
  <si>
    <t>Mr. Nulu Praveen Kumar</t>
  </si>
  <si>
    <t>NT1018</t>
  </si>
  <si>
    <t>Mr.Goru Lakshmi Papa Rao</t>
  </si>
  <si>
    <t>NT1019</t>
  </si>
  <si>
    <t>Mr. Bidyadhoro Majhi</t>
  </si>
  <si>
    <t>NT1011</t>
  </si>
  <si>
    <t>Mr. Appala Murthy N</t>
  </si>
  <si>
    <t xml:space="preserve">Junior Assistant </t>
  </si>
  <si>
    <t>Level-3</t>
  </si>
  <si>
    <t>NT1012</t>
  </si>
  <si>
    <t>Mr. U. Rambabu</t>
  </si>
  <si>
    <t>Total</t>
  </si>
  <si>
    <t>* NT1004  - Smt Kalika Devi is not entilited to receive the Transport Allowance as he is on CCL for whole month of April'26</t>
  </si>
  <si>
    <t xml:space="preserve">APPROVED /NOT APPROVED </t>
  </si>
  <si>
    <t>PREPARED BY</t>
  </si>
  <si>
    <t>VERIFIED BY</t>
  </si>
  <si>
    <t>(S.SIRISHA)</t>
  </si>
  <si>
    <t>(Y RAMA RAO)</t>
  </si>
  <si>
    <t>( DR.B.MURALI KRISHNA)</t>
  </si>
  <si>
    <t>(SHRI.RAM PHAL DWIVEDI)</t>
  </si>
  <si>
    <t>ACCOUNTS EXECUTIVE</t>
  </si>
  <si>
    <t>Jr SUPTD(ACTING ASSISTANT REGISTRAR (F&amp;A))</t>
  </si>
  <si>
    <t>JOINT REGISTRAR</t>
  </si>
  <si>
    <t xml:space="preserve">            REGISTRAR</t>
  </si>
  <si>
    <t>DA Arrears &amp; TA Arrears on Increase in DA from 58% to 60% - Non Teaching staff</t>
  </si>
  <si>
    <t>January'26</t>
  </si>
  <si>
    <t>February'26</t>
  </si>
  <si>
    <t>March'26</t>
  </si>
  <si>
    <t>Cummulative DA</t>
  </si>
  <si>
    <t>Cummulative TA</t>
  </si>
  <si>
    <t xml:space="preserve">Gross Arrears </t>
  </si>
  <si>
    <t xml:space="preserve">Less: NPS Employee Share </t>
  </si>
  <si>
    <t xml:space="preserve">Less:TDS </t>
  </si>
  <si>
    <t xml:space="preserve">Net Amount Payable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</si>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</sst>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2"/>
      <name val="Tahoma"/>
      <family val="2"/>
    </font>
    <font>
      <b/>
      <sz val="12"/>
      <color rgb="FF000000"/>
      <name val="Tahoma"/>
      <family val="2"/>
    </font>
    <font>
      <sz val="11"/>
      <color theme="1"/>
      <name val="Tahoma"/>
      <family val="2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/>
    </xf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right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left" vertical="center" wrapText="1"/>
    </xf>
    <xf numFmtId="165" fontId="2" fillId="0" borderId="10" xfId="1" applyNumberFormat="1" applyFont="1" applyFill="1" applyBorder="1" applyAlignment="1">
      <alignment horizontal="right" vertical="center" wrapText="1"/>
    </xf>
    <xf numFmtId="166" fontId="2" fillId="0" borderId="11" xfId="1" applyNumberFormat="1" applyFont="1" applyFill="1" applyBorder="1" applyAlignment="1">
      <alignment horizontal="right" vertical="center"/>
    </xf>
    <xf numFmtId="166" fontId="2" fillId="0" borderId="9" xfId="1" applyNumberFormat="1" applyFont="1" applyFill="1" applyBorder="1" applyAlignment="1">
      <alignment horizontal="right" vertical="center"/>
    </xf>
    <xf numFmtId="166" fontId="2" fillId="0" borderId="10" xfId="1" applyNumberFormat="1" applyFont="1" applyFill="1" applyBorder="1" applyAlignment="1">
      <alignment horizontal="right" vertical="center"/>
    </xf>
    <xf numFmtId="166" fontId="2" fillId="0" borderId="12" xfId="1" applyNumberFormat="1" applyFont="1" applyFill="1" applyBorder="1" applyAlignment="1">
      <alignment horizontal="right" vertical="center"/>
    </xf>
    <xf numFmtId="166" fontId="2" fillId="0" borderId="13" xfId="1" applyNumberFormat="1" applyFont="1" applyFill="1" applyBorder="1" applyAlignment="1">
      <alignment horizontal="center" vertical="center"/>
    </xf>
    <xf numFmtId="166" fontId="2" fillId="0" borderId="6" xfId="1" applyNumberFormat="1" applyFont="1" applyFill="1" applyBorder="1" applyAlignment="1">
      <alignment horizontal="right" vertical="center"/>
    </xf>
    <xf numFmtId="166" fontId="2" fillId="0" borderId="14" xfId="1" applyNumberFormat="1" applyFont="1" applyFill="1" applyBorder="1" applyAlignment="1">
      <alignment horizontal="right" vertical="center"/>
    </xf>
    <xf numFmtId="166" fontId="2" fillId="0" borderId="15" xfId="1" applyNumberFormat="1" applyFont="1" applyFill="1" applyBorder="1" applyAlignment="1">
      <alignment horizontal="right" vertical="center"/>
    </xf>
    <xf numFmtId="166" fontId="2" fillId="0" borderId="15" xfId="1" applyNumberFormat="1" applyFont="1" applyFill="1" applyBorder="1" applyAlignment="1">
      <alignment horizontal="center" vertical="center"/>
    </xf>
    <xf numFmtId="166" fontId="2" fillId="0" borderId="5" xfId="1" applyNumberFormat="1" applyFont="1" applyFill="1" applyBorder="1" applyAlignment="1">
      <alignment horizontal="right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vertical="center" wrapText="1"/>
    </xf>
    <xf numFmtId="0" fontId="2" fillId="0" borderId="16" xfId="0" applyFont="1" applyFill="1" applyBorder="1" applyAlignment="1">
      <alignment horizontal="left" vertical="center" wrapText="1"/>
    </xf>
    <xf numFmtId="166" fontId="2" fillId="0" borderId="0" xfId="1" applyNumberFormat="1" applyFont="1" applyFill="1" applyBorder="1" applyAlignment="1">
      <alignment horizontal="right" vertical="center"/>
    </xf>
    <xf numFmtId="166" fontId="2" fillId="0" borderId="17" xfId="1" applyNumberFormat="1" applyFont="1" applyFill="1" applyBorder="1" applyAlignment="1">
      <alignment horizontal="right" vertical="center"/>
    </xf>
    <xf numFmtId="166" fontId="2" fillId="0" borderId="0" xfId="1" applyNumberFormat="1" applyFont="1" applyFill="1" applyBorder="1" applyAlignment="1">
      <alignment horizontal="center" vertical="center"/>
    </xf>
    <xf numFmtId="166" fontId="2" fillId="0" borderId="18" xfId="1" applyNumberFormat="1" applyFont="1" applyFill="1" applyBorder="1" applyAlignment="1">
      <alignment horizontal="right" vertical="center"/>
    </xf>
    <xf numFmtId="166" fontId="2" fillId="0" borderId="18" xfId="1" applyNumberFormat="1" applyFont="1" applyFill="1" applyBorder="1" applyAlignment="1">
      <alignment horizontal="center" vertical="center"/>
    </xf>
    <xf numFmtId="166" fontId="2" fillId="0" borderId="16" xfId="1" applyNumberFormat="1" applyFont="1" applyFill="1" applyBorder="1" applyAlignment="1">
      <alignment horizontal="right" vertical="center"/>
    </xf>
    <xf numFmtId="166" fontId="2" fillId="0" borderId="19" xfId="1" applyNumberFormat="1" applyFont="1" applyFill="1" applyBorder="1" applyAlignment="1">
      <alignment horizontal="right" vertical="center"/>
    </xf>
    <xf numFmtId="0" fontId="2" fillId="0" borderId="9" xfId="0" applyFont="1" applyFill="1" applyBorder="1" applyAlignment="1">
      <alignment vertical="center"/>
    </xf>
    <xf numFmtId="166" fontId="2" fillId="0" borderId="20" xfId="1" applyNumberFormat="1" applyFont="1" applyFill="1" applyBorder="1" applyAlignment="1">
      <alignment horizontal="right" vertical="center"/>
    </xf>
    <xf numFmtId="166" fontId="2" fillId="0" borderId="20" xfId="1" applyNumberFormat="1" applyFont="1" applyFill="1" applyBorder="1" applyAlignment="1">
      <alignment horizontal="center" vertical="center"/>
    </xf>
    <xf numFmtId="166" fontId="2" fillId="0" borderId="21" xfId="1" applyNumberFormat="1" applyFont="1" applyFill="1" applyBorder="1" applyAlignment="1">
      <alignment horizontal="right" vertical="center"/>
    </xf>
    <xf numFmtId="166" fontId="2" fillId="0" borderId="21" xfId="1" applyNumberFormat="1" applyFont="1" applyFill="1" applyBorder="1" applyAlignment="1">
      <alignment horizontal="center" vertical="center"/>
    </xf>
    <xf numFmtId="166" fontId="2" fillId="0" borderId="5" xfId="1" applyNumberFormat="1" applyFont="1" applyFill="1" applyBorder="1" applyAlignment="1">
      <alignment horizontal="center" vertical="center"/>
    </xf>
    <xf numFmtId="166" fontId="2" fillId="0" borderId="7" xfId="1" applyNumberFormat="1" applyFont="1" applyFill="1" applyBorder="1" applyAlignment="1">
      <alignment horizontal="right" vertical="center"/>
    </xf>
    <xf numFmtId="166" fontId="2" fillId="0" borderId="9" xfId="1" applyNumberFormat="1" applyFont="1" applyFill="1" applyBorder="1" applyAlignment="1">
      <alignment horizontal="center" vertical="center"/>
    </xf>
    <xf numFmtId="166" fontId="2" fillId="0" borderId="22" xfId="1" applyNumberFormat="1" applyFont="1" applyFill="1" applyBorder="1" applyAlignment="1">
      <alignment horizontal="right" vertical="center"/>
    </xf>
    <xf numFmtId="166" fontId="2" fillId="0" borderId="0" xfId="0" applyNumberFormat="1" applyFont="1" applyFill="1" applyBorder="1"/>
    <xf numFmtId="166" fontId="2" fillId="0" borderId="23" xfId="1" applyNumberFormat="1" applyFont="1" applyFill="1" applyBorder="1" applyAlignment="1">
      <alignment horizontal="right" vertical="center"/>
    </xf>
    <xf numFmtId="166" fontId="2" fillId="0" borderId="24" xfId="1" applyNumberFormat="1" applyFont="1" applyFill="1" applyBorder="1" applyAlignment="1">
      <alignment horizontal="right" vertical="center"/>
    </xf>
    <xf numFmtId="43" fontId="3" fillId="0" borderId="1" xfId="0" applyNumberFormat="1" applyFont="1" applyFill="1" applyBorder="1" applyAlignment="1">
      <alignment horizontal="center" vertical="center" wrapText="1"/>
    </xf>
    <xf numFmtId="43" fontId="3" fillId="0" borderId="2" xfId="0" applyNumberFormat="1" applyFont="1" applyFill="1" applyBorder="1" applyAlignment="1">
      <alignment horizontal="center" vertical="center" wrapText="1"/>
    </xf>
    <xf numFmtId="43" fontId="3" fillId="0" borderId="25" xfId="0" applyNumberFormat="1" applyFont="1" applyFill="1" applyBorder="1" applyAlignment="1">
      <alignment horizontal="center" vertical="center" wrapText="1"/>
    </xf>
    <xf numFmtId="166" fontId="3" fillId="0" borderId="26" xfId="1" applyNumberFormat="1" applyFont="1" applyFill="1" applyBorder="1" applyAlignment="1">
      <alignment horizontal="right" vertical="center"/>
    </xf>
    <xf numFmtId="166" fontId="3" fillId="0" borderId="27" xfId="1" applyNumberFormat="1" applyFont="1" applyFill="1" applyBorder="1" applyAlignment="1">
      <alignment horizontal="right" vertical="center"/>
    </xf>
    <xf numFmtId="166" fontId="3" fillId="0" borderId="28" xfId="1" applyNumberFormat="1" applyFont="1" applyFill="1" applyBorder="1" applyAlignment="1">
      <alignment horizontal="right" vertical="center"/>
    </xf>
    <xf numFmtId="166" fontId="2" fillId="0" borderId="0" xfId="0" applyNumberFormat="1" applyFont="1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left" vertical="top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2" fillId="0" borderId="9" xfId="0" applyFont="1" applyFill="1" applyBorder="1"/>
    <xf numFmtId="166" fontId="2" fillId="0" borderId="29" xfId="1" applyNumberFormat="1" applyFont="1" applyFill="1" applyBorder="1" applyAlignment="1">
      <alignment horizontal="right" vertical="center"/>
    </xf>
    <xf numFmtId="166" fontId="7" fillId="0" borderId="9" xfId="0" applyNumberFormat="1" applyFont="1" applyFill="1" applyBorder="1"/>
    <xf numFmtId="0" fontId="7" fillId="0" borderId="9" xfId="0" applyFont="1" applyFill="1" applyBorder="1"/>
    <xf numFmtId="166" fontId="7" fillId="0" borderId="9" xfId="0" applyNumberFormat="1" applyFont="1" applyFill="1" applyBorder="1" applyAlignment="1">
      <alignment horizontal="left"/>
    </xf>
    <xf numFmtId="166" fontId="2" fillId="0" borderId="30" xfId="1" applyNumberFormat="1" applyFont="1" applyFill="1" applyBorder="1" applyAlignment="1">
      <alignment horizontal="right" vertical="center"/>
    </xf>
    <xf numFmtId="0" fontId="3" fillId="0" borderId="9" xfId="0" applyFont="1" applyFill="1" applyBorder="1" applyAlignment="1">
      <alignment horizontal="center" vertical="center"/>
    </xf>
    <xf numFmtId="166" fontId="3" fillId="0" borderId="9" xfId="0" applyNumberFormat="1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/>
    <xf numFmtId="0" fontId="6" fillId="0" borderId="0" xfId="0" quotePrefix="1" applyFont="1" applyFill="1" applyAlignment="1">
      <alignment horizontal="left" vertical="top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/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right"/>
    </xf>
    <xf numFmtId="0" fontId="6" fillId="0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71BC-FED0-44FF-9E66-614F19F68907}">
  <sheetPr>
    <pageSetUpPr fitToPage="1"/>
  </sheetPr>
  <dimension ref="A1:T67"/>
  <sheetViews>
    <sheetView tabSelected="1" zoomScale="98" zoomScaleNormal="98" workbookViewId="0">
      <pane xSplit="5" topLeftCell="F1" activePane="topRight" state="frozen"/>
      <selection activeCell="R39" sqref="R39"/>
      <selection pane="topRight" activeCell="A5" sqref="A5:A21"/>
    </sheetView>
  </sheetViews>
  <sheetFormatPr defaultRowHeight="15" x14ac:dyDescent="0.2"/>
  <cols>
    <col min="1" max="1" width="16.42578125" style="5" customWidth="1"/>
    <col min="2" max="2" width="21.42578125" style="6" bestFit="1" customWidth="1"/>
    <col min="3" max="3" width="25.42578125" style="7" customWidth="1"/>
    <col min="4" max="4" width="21.140625" style="8" customWidth="1"/>
    <col min="5" max="5" width="12.7109375" style="9" bestFit="1" customWidth="1"/>
    <col min="6" max="6" width="18.42578125" style="10" customWidth="1"/>
    <col min="7" max="7" width="13" style="10" bestFit="1" customWidth="1"/>
    <col min="8" max="8" width="12.140625" style="6" bestFit="1" customWidth="1"/>
    <col min="9" max="9" width="13.85546875" style="6" bestFit="1" customWidth="1"/>
    <col min="10" max="10" width="14.42578125" style="6" customWidth="1"/>
    <col min="11" max="11" width="15.85546875" style="6" bestFit="1" customWidth="1"/>
    <col min="12" max="12" width="10.42578125" style="6" customWidth="1"/>
    <col min="13" max="13" width="13.85546875" style="11" customWidth="1"/>
    <col min="14" max="14" width="20.85546875" style="6" customWidth="1"/>
    <col min="15" max="15" width="16.85546875" style="6" customWidth="1"/>
    <col min="16" max="16" width="12.42578125" style="6" customWidth="1"/>
    <col min="17" max="17" width="13.42578125" style="6" customWidth="1"/>
    <col min="18" max="18" width="15.7109375" style="6" customWidth="1"/>
    <col min="19" max="19" width="14.5703125" style="6" bestFit="1" customWidth="1"/>
    <col min="20" max="20" width="10" style="5" bestFit="1" customWidth="1"/>
    <col min="21" max="16384" width="9.140625" style="5"/>
  </cols>
  <sheetData>
    <row r="1" spans="1:20" s="1" customFormat="1" ht="24.95" customHeight="1" x14ac:dyDescent="0.2">
      <c r="B1" s="2"/>
      <c r="C1" s="2"/>
      <c r="D1" s="3"/>
      <c r="E1" s="4" t="s">
        <v>0</v>
      </c>
      <c r="F1" s="4"/>
      <c r="G1" s="4"/>
      <c r="H1" s="4"/>
      <c r="I1" s="4"/>
      <c r="J1" s="4"/>
      <c r="K1" s="4"/>
      <c r="L1" s="4"/>
      <c r="M1" s="4"/>
      <c r="N1" s="4"/>
      <c r="O1" s="2"/>
      <c r="P1" s="2"/>
      <c r="Q1" s="2"/>
      <c r="R1" s="2"/>
      <c r="S1" s="2"/>
    </row>
    <row r="2" spans="1:20" ht="24.95" customHeight="1" thickBot="1" x14ac:dyDescent="0.25"/>
    <row r="3" spans="1:20" ht="24.95" customHeight="1" thickBot="1" x14ac:dyDescent="0.25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pans="1:20" s="23" customFormat="1" ht="63.75" customHeight="1" x14ac:dyDescent="0.2">
      <c r="A4" s="15" t="s">
        <v>2</v>
      </c>
      <c r="B4" s="16" t="s">
        <v>3</v>
      </c>
      <c r="C4" s="17" t="s">
        <v>4</v>
      </c>
      <c r="D4" s="16" t="s">
        <v>5</v>
      </c>
      <c r="E4" s="18" t="s">
        <v>6</v>
      </c>
      <c r="F4" s="19" t="s">
        <v>7</v>
      </c>
      <c r="G4" s="20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21" t="s">
        <v>14</v>
      </c>
      <c r="N4" s="16" t="s">
        <v>15</v>
      </c>
      <c r="O4" s="16" t="s">
        <v>16</v>
      </c>
      <c r="P4" s="16" t="s">
        <v>17</v>
      </c>
      <c r="Q4" s="16" t="s">
        <v>18</v>
      </c>
      <c r="R4" s="16" t="s">
        <v>19</v>
      </c>
      <c r="S4" s="22" t="s">
        <v>20</v>
      </c>
    </row>
    <row r="5" spans="1:20" ht="24.95" customHeight="1" x14ac:dyDescent="0.2">
      <c r="A5" s="24">
        <v>1</v>
      </c>
      <c r="B5" s="25" t="s">
        <v>21</v>
      </c>
      <c r="C5" s="26" t="s">
        <v>22</v>
      </c>
      <c r="D5" s="27" t="s">
        <v>23</v>
      </c>
      <c r="E5" s="25" t="s">
        <v>24</v>
      </c>
      <c r="F5" s="28">
        <v>182700</v>
      </c>
      <c r="G5" s="29">
        <f>ROUND(F5*60%,0)</f>
        <v>109620</v>
      </c>
      <c r="H5" s="30">
        <v>0</v>
      </c>
      <c r="I5" s="31">
        <v>0</v>
      </c>
      <c r="J5" s="32">
        <f>ROUND(SUM(F5+G5)*0.14,0)</f>
        <v>40925</v>
      </c>
      <c r="K5" s="29">
        <f>SUM(F5:J5)</f>
        <v>333245</v>
      </c>
      <c r="L5" s="30">
        <v>200</v>
      </c>
      <c r="M5" s="33">
        <v>60000</v>
      </c>
      <c r="N5" s="30">
        <f>ROUND(SUM(F5+G5)*0.1,0)</f>
        <v>29232</v>
      </c>
      <c r="O5" s="30">
        <f>+J5</f>
        <v>40925</v>
      </c>
      <c r="P5" s="30">
        <v>1000</v>
      </c>
      <c r="Q5" s="34">
        <v>0</v>
      </c>
      <c r="R5" s="30">
        <f t="shared" ref="R5:R21" si="0">SUM(L5:Q5)</f>
        <v>131357</v>
      </c>
      <c r="S5" s="35">
        <f t="shared" ref="S5:S21" si="1">+K5-R5</f>
        <v>201888</v>
      </c>
    </row>
    <row r="6" spans="1:20" ht="24.95" customHeight="1" x14ac:dyDescent="0.2">
      <c r="A6" s="24">
        <v>2</v>
      </c>
      <c r="B6" s="25" t="s">
        <v>25</v>
      </c>
      <c r="C6" s="26" t="s">
        <v>26</v>
      </c>
      <c r="D6" s="27" t="s">
        <v>27</v>
      </c>
      <c r="E6" s="25" t="s">
        <v>28</v>
      </c>
      <c r="F6" s="36">
        <v>130600</v>
      </c>
      <c r="G6" s="29">
        <f>ROUND(F6*60%,0)</f>
        <v>78360</v>
      </c>
      <c r="H6" s="30">
        <f>3600*160%</f>
        <v>5760</v>
      </c>
      <c r="I6" s="31">
        <f>ROUND(F6*20/100,0)</f>
        <v>26120</v>
      </c>
      <c r="J6" s="30">
        <f>ROUND(SUM(F6+G6)*0.14,0)</f>
        <v>29254</v>
      </c>
      <c r="K6" s="30">
        <f>SUM(F6:J6)</f>
        <v>270094</v>
      </c>
      <c r="L6" s="30">
        <v>200</v>
      </c>
      <c r="M6" s="37">
        <v>35000</v>
      </c>
      <c r="N6" s="30">
        <f>ROUND(SUM(F6+G6)*0.1,0)</f>
        <v>20896</v>
      </c>
      <c r="O6" s="30">
        <f t="shared" ref="O6:O18" si="2">+J6</f>
        <v>29254</v>
      </c>
      <c r="P6" s="30">
        <v>1000</v>
      </c>
      <c r="Q6" s="34">
        <v>0</v>
      </c>
      <c r="R6" s="38">
        <f t="shared" si="0"/>
        <v>86350</v>
      </c>
      <c r="S6" s="35">
        <f t="shared" si="1"/>
        <v>183744</v>
      </c>
    </row>
    <row r="7" spans="1:20" ht="42" customHeight="1" x14ac:dyDescent="0.2">
      <c r="A7" s="24">
        <v>3</v>
      </c>
      <c r="B7" s="39" t="s">
        <v>29</v>
      </c>
      <c r="C7" s="40" t="s">
        <v>30</v>
      </c>
      <c r="D7" s="41" t="s">
        <v>31</v>
      </c>
      <c r="E7" s="25" t="s">
        <v>28</v>
      </c>
      <c r="F7" s="42">
        <v>115000</v>
      </c>
      <c r="G7" s="29">
        <f>+ROUND(151400*0.6,0)</f>
        <v>90840</v>
      </c>
      <c r="H7" s="30">
        <f>3600*160%</f>
        <v>5760</v>
      </c>
      <c r="I7" s="43">
        <f>+ROUND(151400*0.2,0)</f>
        <v>30280</v>
      </c>
      <c r="J7" s="30">
        <f>+ROUND(SUM(F7+G7)*0.14,0)</f>
        <v>28818</v>
      </c>
      <c r="K7" s="30">
        <f>SUM(F7:J7)</f>
        <v>270698</v>
      </c>
      <c r="L7" s="30">
        <v>200</v>
      </c>
      <c r="M7" s="44">
        <v>50000</v>
      </c>
      <c r="N7" s="30">
        <f>+ROUND(SUM(F7+G7)*0.1,0)</f>
        <v>20584</v>
      </c>
      <c r="O7" s="30">
        <f t="shared" si="2"/>
        <v>28818</v>
      </c>
      <c r="P7" s="30">
        <v>1000</v>
      </c>
      <c r="Q7" s="34">
        <v>0</v>
      </c>
      <c r="R7" s="38">
        <f t="shared" si="0"/>
        <v>100602</v>
      </c>
      <c r="S7" s="35">
        <f t="shared" si="1"/>
        <v>170096</v>
      </c>
    </row>
    <row r="8" spans="1:20" ht="35.25" customHeight="1" x14ac:dyDescent="0.2">
      <c r="A8" s="24">
        <v>4</v>
      </c>
      <c r="B8" s="39" t="s">
        <v>32</v>
      </c>
      <c r="C8" s="40" t="s">
        <v>33</v>
      </c>
      <c r="D8" s="41" t="s">
        <v>34</v>
      </c>
      <c r="E8" s="39" t="s">
        <v>35</v>
      </c>
      <c r="F8" s="45">
        <v>61300</v>
      </c>
      <c r="G8" s="29">
        <f t="shared" ref="G8:G21" si="3">ROUND(F8*60%,0)</f>
        <v>36780</v>
      </c>
      <c r="H8" s="30">
        <f>3600*160%</f>
        <v>5760</v>
      </c>
      <c r="I8" s="31">
        <f>ROUND(F8*20/100,0)</f>
        <v>12260</v>
      </c>
      <c r="J8" s="30">
        <f>ROUND(SUM(F8+G8)*0.14,0)</f>
        <v>13731</v>
      </c>
      <c r="K8" s="30">
        <f>SUM(F8:J8)</f>
        <v>129831</v>
      </c>
      <c r="L8" s="30">
        <v>200</v>
      </c>
      <c r="M8" s="46"/>
      <c r="N8" s="30">
        <f>ROUND(SUM(F8+G8)*0.1,0)</f>
        <v>9808</v>
      </c>
      <c r="O8" s="30">
        <f>+J8</f>
        <v>13731</v>
      </c>
      <c r="P8" s="30">
        <v>650</v>
      </c>
      <c r="Q8" s="34">
        <v>0</v>
      </c>
      <c r="R8" s="47">
        <f t="shared" si="0"/>
        <v>24389</v>
      </c>
      <c r="S8" s="48">
        <f t="shared" si="1"/>
        <v>105442</v>
      </c>
    </row>
    <row r="9" spans="1:20" ht="24.95" customHeight="1" x14ac:dyDescent="0.2">
      <c r="A9" s="24">
        <v>5</v>
      </c>
      <c r="B9" s="49" t="s">
        <v>36</v>
      </c>
      <c r="C9" s="26" t="s">
        <v>37</v>
      </c>
      <c r="D9" s="27" t="s">
        <v>38</v>
      </c>
      <c r="E9" s="25" t="s">
        <v>35</v>
      </c>
      <c r="F9" s="50">
        <v>57800</v>
      </c>
      <c r="G9" s="29">
        <f t="shared" si="3"/>
        <v>34680</v>
      </c>
      <c r="H9" s="30">
        <f>3600*160%</f>
        <v>5760</v>
      </c>
      <c r="I9" s="31">
        <f t="shared" ref="I9:I18" si="4">ROUND(F9*20/100,0)</f>
        <v>11560</v>
      </c>
      <c r="J9" s="30">
        <f t="shared" ref="J9" si="5">ROUND(SUM(F9+G9)*0.14,0)</f>
        <v>12947</v>
      </c>
      <c r="K9" s="30">
        <f t="shared" ref="K9" si="6">SUM(F9:J9)</f>
        <v>122747</v>
      </c>
      <c r="L9" s="30">
        <v>200</v>
      </c>
      <c r="M9" s="51">
        <v>5000</v>
      </c>
      <c r="N9" s="30">
        <f t="shared" ref="N9:N18" si="7">ROUND(SUM(F9+G9)*0.1,0)</f>
        <v>9248</v>
      </c>
      <c r="O9" s="30">
        <f t="shared" ref="O9:O10" si="8">+J9</f>
        <v>12947</v>
      </c>
      <c r="P9" s="30">
        <v>650</v>
      </c>
      <c r="Q9" s="34">
        <v>0</v>
      </c>
      <c r="R9" s="47">
        <f t="shared" si="0"/>
        <v>28045</v>
      </c>
      <c r="S9" s="48">
        <f t="shared" si="1"/>
        <v>94702</v>
      </c>
    </row>
    <row r="10" spans="1:20" ht="24.95" customHeight="1" x14ac:dyDescent="0.2">
      <c r="A10" s="24">
        <v>6</v>
      </c>
      <c r="B10" s="25" t="s">
        <v>39</v>
      </c>
      <c r="C10" s="27" t="s">
        <v>40</v>
      </c>
      <c r="D10" s="27" t="s">
        <v>38</v>
      </c>
      <c r="E10" s="25" t="s">
        <v>35</v>
      </c>
      <c r="F10" s="52">
        <v>57800</v>
      </c>
      <c r="G10" s="29">
        <f t="shared" si="3"/>
        <v>34680</v>
      </c>
      <c r="H10" s="30">
        <v>0</v>
      </c>
      <c r="I10" s="31">
        <f t="shared" si="4"/>
        <v>11560</v>
      </c>
      <c r="J10" s="30">
        <f t="shared" ref="J10:J18" si="9">ROUND(SUM(F10+G10)*0.14,0)</f>
        <v>12947</v>
      </c>
      <c r="K10" s="30">
        <f t="shared" ref="K10:K18" si="10">SUM(F10:J10)</f>
        <v>116987</v>
      </c>
      <c r="L10" s="30">
        <v>200</v>
      </c>
      <c r="M10" s="53"/>
      <c r="N10" s="30">
        <f t="shared" si="7"/>
        <v>9248</v>
      </c>
      <c r="O10" s="30">
        <f t="shared" si="8"/>
        <v>12947</v>
      </c>
      <c r="P10" s="30">
        <v>650</v>
      </c>
      <c r="Q10" s="34">
        <v>0</v>
      </c>
      <c r="R10" s="30">
        <f t="shared" si="0"/>
        <v>23045</v>
      </c>
      <c r="S10" s="35">
        <f t="shared" si="1"/>
        <v>93942</v>
      </c>
    </row>
    <row r="11" spans="1:20" ht="24.95" customHeight="1" x14ac:dyDescent="0.2">
      <c r="A11" s="24">
        <v>7</v>
      </c>
      <c r="B11" s="25" t="s">
        <v>41</v>
      </c>
      <c r="C11" s="26" t="s">
        <v>42</v>
      </c>
      <c r="D11" s="27" t="s">
        <v>43</v>
      </c>
      <c r="E11" s="25" t="s">
        <v>44</v>
      </c>
      <c r="F11" s="34">
        <v>49000</v>
      </c>
      <c r="G11" s="29">
        <f t="shared" si="3"/>
        <v>29400</v>
      </c>
      <c r="H11" s="30">
        <f>1800*160%</f>
        <v>2880</v>
      </c>
      <c r="I11" s="43">
        <f>ROUND(F11*20/100,0)</f>
        <v>9800</v>
      </c>
      <c r="J11" s="32">
        <f>ROUND(SUM(F11+G11)*0.14,0)</f>
        <v>10976</v>
      </c>
      <c r="K11" s="32">
        <f>SUM(F11:J11)</f>
        <v>102056</v>
      </c>
      <c r="L11" s="38">
        <v>200</v>
      </c>
      <c r="M11" s="54">
        <v>0</v>
      </c>
      <c r="N11" s="29">
        <f>ROUND(SUM(F11+G11)*0.1,0)</f>
        <v>7840</v>
      </c>
      <c r="O11" s="38">
        <f>+J11</f>
        <v>10976</v>
      </c>
      <c r="P11" s="38">
        <v>650</v>
      </c>
      <c r="Q11" s="34">
        <v>222</v>
      </c>
      <c r="R11" s="38">
        <f t="shared" si="0"/>
        <v>19888</v>
      </c>
      <c r="S11" s="55">
        <f t="shared" si="1"/>
        <v>82168</v>
      </c>
    </row>
    <row r="12" spans="1:20" ht="24.95" customHeight="1" x14ac:dyDescent="0.2">
      <c r="A12" s="24">
        <v>8</v>
      </c>
      <c r="B12" s="25" t="s">
        <v>45</v>
      </c>
      <c r="C12" s="26" t="s">
        <v>46</v>
      </c>
      <c r="D12" s="27" t="s">
        <v>43</v>
      </c>
      <c r="E12" s="25" t="s">
        <v>44</v>
      </c>
      <c r="F12" s="31">
        <v>49000</v>
      </c>
      <c r="G12" s="29">
        <f t="shared" si="3"/>
        <v>29400</v>
      </c>
      <c r="H12" s="30">
        <f t="shared" ref="H12:H21" si="11">1800*160%</f>
        <v>2880</v>
      </c>
      <c r="I12" s="43">
        <f>ROUND(F12*20/100,0)</f>
        <v>9800</v>
      </c>
      <c r="J12" s="32">
        <f>ROUND(SUM(F12+G12)*0.14,0)</f>
        <v>10976</v>
      </c>
      <c r="K12" s="32">
        <f>SUM(F12:J12)</f>
        <v>102056</v>
      </c>
      <c r="L12" s="30">
        <v>200</v>
      </c>
      <c r="M12" s="56">
        <v>0</v>
      </c>
      <c r="N12" s="57">
        <f>ROUND(SUM(F12+G12)*0.1,0)</f>
        <v>7840</v>
      </c>
      <c r="O12" s="30">
        <f>+J12</f>
        <v>10976</v>
      </c>
      <c r="P12" s="30">
        <v>650</v>
      </c>
      <c r="Q12" s="34">
        <v>0</v>
      </c>
      <c r="R12" s="47">
        <f t="shared" si="0"/>
        <v>19666</v>
      </c>
      <c r="S12" s="35">
        <f t="shared" si="1"/>
        <v>82390</v>
      </c>
    </row>
    <row r="13" spans="1:20" ht="30" x14ac:dyDescent="0.2">
      <c r="A13" s="24">
        <v>9</v>
      </c>
      <c r="B13" s="26" t="s">
        <v>47</v>
      </c>
      <c r="C13" s="26" t="s">
        <v>48</v>
      </c>
      <c r="D13" s="27" t="s">
        <v>49</v>
      </c>
      <c r="E13" s="25" t="s">
        <v>50</v>
      </c>
      <c r="F13" s="31">
        <v>36500</v>
      </c>
      <c r="G13" s="29">
        <f t="shared" si="3"/>
        <v>21900</v>
      </c>
      <c r="H13" s="30">
        <f t="shared" si="11"/>
        <v>2880</v>
      </c>
      <c r="I13" s="31">
        <f t="shared" si="4"/>
        <v>7300</v>
      </c>
      <c r="J13" s="30">
        <f>ROUND(SUM(F13+G13)*0.14,0)</f>
        <v>8176</v>
      </c>
      <c r="K13" s="30">
        <f t="shared" si="10"/>
        <v>76756</v>
      </c>
      <c r="L13" s="30">
        <v>200</v>
      </c>
      <c r="M13" s="56">
        <v>0</v>
      </c>
      <c r="N13" s="30">
        <f t="shared" ref="N13" si="12">ROUND(SUM(F13+G13)*0.1,0)</f>
        <v>5840</v>
      </c>
      <c r="O13" s="30">
        <f t="shared" ref="O13" si="13">+J13</f>
        <v>8176</v>
      </c>
      <c r="P13" s="30">
        <v>450</v>
      </c>
      <c r="Q13" s="34">
        <v>0</v>
      </c>
      <c r="R13" s="30">
        <f t="shared" si="0"/>
        <v>14666</v>
      </c>
      <c r="S13" s="35">
        <f t="shared" si="1"/>
        <v>62090</v>
      </c>
      <c r="T13" s="58"/>
    </row>
    <row r="14" spans="1:20" ht="24.95" customHeight="1" x14ac:dyDescent="0.2">
      <c r="A14" s="24">
        <v>10</v>
      </c>
      <c r="B14" s="25" t="s">
        <v>51</v>
      </c>
      <c r="C14" s="26" t="s">
        <v>52</v>
      </c>
      <c r="D14" s="27" t="s">
        <v>53</v>
      </c>
      <c r="E14" s="25" t="s">
        <v>54</v>
      </c>
      <c r="F14" s="31">
        <v>30100</v>
      </c>
      <c r="G14" s="29">
        <f t="shared" si="3"/>
        <v>18060</v>
      </c>
      <c r="H14" s="30">
        <f t="shared" si="11"/>
        <v>2880</v>
      </c>
      <c r="I14" s="43">
        <f t="shared" si="4"/>
        <v>6020</v>
      </c>
      <c r="J14" s="32">
        <f t="shared" si="9"/>
        <v>6742</v>
      </c>
      <c r="K14" s="32">
        <f t="shared" si="10"/>
        <v>63802</v>
      </c>
      <c r="L14" s="30">
        <v>200</v>
      </c>
      <c r="M14" s="56">
        <v>0</v>
      </c>
      <c r="N14" s="57">
        <f t="shared" si="7"/>
        <v>4816</v>
      </c>
      <c r="O14" s="30">
        <f t="shared" si="2"/>
        <v>6742</v>
      </c>
      <c r="P14" s="30">
        <v>250</v>
      </c>
      <c r="Q14" s="34">
        <v>0</v>
      </c>
      <c r="R14" s="47">
        <f t="shared" si="0"/>
        <v>12008</v>
      </c>
      <c r="S14" s="35">
        <f t="shared" si="1"/>
        <v>51794</v>
      </c>
    </row>
    <row r="15" spans="1:20" ht="24.95" customHeight="1" x14ac:dyDescent="0.2">
      <c r="A15" s="24">
        <v>11</v>
      </c>
      <c r="B15" s="25" t="s">
        <v>55</v>
      </c>
      <c r="C15" s="26" t="s">
        <v>56</v>
      </c>
      <c r="D15" s="27" t="s">
        <v>57</v>
      </c>
      <c r="E15" s="25" t="s">
        <v>54</v>
      </c>
      <c r="F15" s="31">
        <v>30100</v>
      </c>
      <c r="G15" s="29">
        <f t="shared" si="3"/>
        <v>18060</v>
      </c>
      <c r="H15" s="30">
        <f t="shared" si="11"/>
        <v>2880</v>
      </c>
      <c r="I15" s="43">
        <f t="shared" si="4"/>
        <v>6020</v>
      </c>
      <c r="J15" s="32">
        <f t="shared" si="9"/>
        <v>6742</v>
      </c>
      <c r="K15" s="32">
        <f t="shared" si="10"/>
        <v>63802</v>
      </c>
      <c r="L15" s="30">
        <v>200</v>
      </c>
      <c r="M15" s="56">
        <v>0</v>
      </c>
      <c r="N15" s="57">
        <f t="shared" si="7"/>
        <v>4816</v>
      </c>
      <c r="O15" s="30">
        <f t="shared" si="2"/>
        <v>6742</v>
      </c>
      <c r="P15" s="30">
        <v>250</v>
      </c>
      <c r="Q15" s="34">
        <v>0</v>
      </c>
      <c r="R15" s="47">
        <f t="shared" si="0"/>
        <v>12008</v>
      </c>
      <c r="S15" s="35">
        <f t="shared" si="1"/>
        <v>51794</v>
      </c>
    </row>
    <row r="16" spans="1:20" ht="24.95" customHeight="1" x14ac:dyDescent="0.2">
      <c r="A16" s="24">
        <v>12</v>
      </c>
      <c r="B16" s="25" t="s">
        <v>58</v>
      </c>
      <c r="C16" s="26" t="s">
        <v>59</v>
      </c>
      <c r="D16" s="27" t="s">
        <v>53</v>
      </c>
      <c r="E16" s="25" t="s">
        <v>54</v>
      </c>
      <c r="F16" s="31">
        <v>30100</v>
      </c>
      <c r="G16" s="29">
        <f t="shared" si="3"/>
        <v>18060</v>
      </c>
      <c r="H16" s="30">
        <f t="shared" si="11"/>
        <v>2880</v>
      </c>
      <c r="I16" s="43">
        <f t="shared" si="4"/>
        <v>6020</v>
      </c>
      <c r="J16" s="32">
        <f t="shared" si="9"/>
        <v>6742</v>
      </c>
      <c r="K16" s="32">
        <f t="shared" si="10"/>
        <v>63802</v>
      </c>
      <c r="L16" s="59">
        <v>200</v>
      </c>
      <c r="M16" s="56">
        <v>0</v>
      </c>
      <c r="N16" s="57">
        <f t="shared" si="7"/>
        <v>4816</v>
      </c>
      <c r="O16" s="30">
        <f t="shared" si="2"/>
        <v>6742</v>
      </c>
      <c r="P16" s="30">
        <v>250</v>
      </c>
      <c r="Q16" s="34">
        <v>0</v>
      </c>
      <c r="R16" s="47">
        <f t="shared" si="0"/>
        <v>12008</v>
      </c>
      <c r="S16" s="35">
        <f t="shared" si="1"/>
        <v>51794</v>
      </c>
    </row>
    <row r="17" spans="1:20" ht="34.5" customHeight="1" x14ac:dyDescent="0.2">
      <c r="A17" s="24">
        <v>13</v>
      </c>
      <c r="B17" s="25" t="s">
        <v>60</v>
      </c>
      <c r="C17" s="26" t="s">
        <v>61</v>
      </c>
      <c r="D17" s="27" t="s">
        <v>53</v>
      </c>
      <c r="E17" s="25" t="s">
        <v>54</v>
      </c>
      <c r="F17" s="31">
        <v>30100</v>
      </c>
      <c r="G17" s="29">
        <f t="shared" si="3"/>
        <v>18060</v>
      </c>
      <c r="H17" s="30">
        <f t="shared" si="11"/>
        <v>2880</v>
      </c>
      <c r="I17" s="43">
        <f t="shared" si="4"/>
        <v>6020</v>
      </c>
      <c r="J17" s="32">
        <f t="shared" si="9"/>
        <v>6742</v>
      </c>
      <c r="K17" s="32">
        <f t="shared" si="10"/>
        <v>63802</v>
      </c>
      <c r="L17" s="30">
        <v>200</v>
      </c>
      <c r="M17" s="56">
        <v>0</v>
      </c>
      <c r="N17" s="57">
        <f t="shared" si="7"/>
        <v>4816</v>
      </c>
      <c r="O17" s="30">
        <f t="shared" si="2"/>
        <v>6742</v>
      </c>
      <c r="P17" s="30">
        <v>250</v>
      </c>
      <c r="Q17" s="34">
        <v>0</v>
      </c>
      <c r="R17" s="47">
        <f t="shared" si="0"/>
        <v>12008</v>
      </c>
      <c r="S17" s="35">
        <f t="shared" si="1"/>
        <v>51794</v>
      </c>
      <c r="T17" s="58"/>
    </row>
    <row r="18" spans="1:20" ht="33" customHeight="1" x14ac:dyDescent="0.2">
      <c r="A18" s="24">
        <v>14</v>
      </c>
      <c r="B18" s="25" t="s">
        <v>62</v>
      </c>
      <c r="C18" s="26" t="s">
        <v>63</v>
      </c>
      <c r="D18" s="27" t="s">
        <v>53</v>
      </c>
      <c r="E18" s="25" t="s">
        <v>54</v>
      </c>
      <c r="F18" s="31">
        <v>30100</v>
      </c>
      <c r="G18" s="29">
        <f t="shared" si="3"/>
        <v>18060</v>
      </c>
      <c r="H18" s="30">
        <f t="shared" si="11"/>
        <v>2880</v>
      </c>
      <c r="I18" s="43">
        <f t="shared" si="4"/>
        <v>6020</v>
      </c>
      <c r="J18" s="32">
        <f t="shared" si="9"/>
        <v>6742</v>
      </c>
      <c r="K18" s="32">
        <f t="shared" si="10"/>
        <v>63802</v>
      </c>
      <c r="L18" s="30">
        <v>200</v>
      </c>
      <c r="M18" s="56">
        <v>0</v>
      </c>
      <c r="N18" s="57">
        <f t="shared" si="7"/>
        <v>4816</v>
      </c>
      <c r="O18" s="29">
        <f t="shared" si="2"/>
        <v>6742</v>
      </c>
      <c r="P18" s="30">
        <v>250</v>
      </c>
      <c r="Q18" s="34">
        <v>0</v>
      </c>
      <c r="R18" s="47">
        <f t="shared" si="0"/>
        <v>12008</v>
      </c>
      <c r="S18" s="35">
        <f t="shared" si="1"/>
        <v>51794</v>
      </c>
    </row>
    <row r="19" spans="1:20" ht="37.5" customHeight="1" x14ac:dyDescent="0.2">
      <c r="A19" s="24">
        <v>15</v>
      </c>
      <c r="B19" s="25" t="s">
        <v>64</v>
      </c>
      <c r="C19" s="26" t="s">
        <v>65</v>
      </c>
      <c r="D19" s="27" t="s">
        <v>57</v>
      </c>
      <c r="E19" s="25" t="s">
        <v>54</v>
      </c>
      <c r="F19" s="31">
        <v>30100</v>
      </c>
      <c r="G19" s="29">
        <f t="shared" si="3"/>
        <v>18060</v>
      </c>
      <c r="H19" s="30">
        <f t="shared" si="11"/>
        <v>2880</v>
      </c>
      <c r="I19" s="43">
        <f>ROUND(F19*20/100,0)</f>
        <v>6020</v>
      </c>
      <c r="J19" s="32">
        <f>ROUND(SUM(F19+G19)*0.14,0)</f>
        <v>6742</v>
      </c>
      <c r="K19" s="32">
        <f>SUM(F19:J19)</f>
        <v>63802</v>
      </c>
      <c r="L19" s="30">
        <v>200</v>
      </c>
      <c r="M19" s="56">
        <v>0</v>
      </c>
      <c r="N19" s="57">
        <f>ROUND(SUM(F19+G19)*0.1,0)</f>
        <v>4816</v>
      </c>
      <c r="O19" s="60">
        <f>+J19</f>
        <v>6742</v>
      </c>
      <c r="P19" s="30">
        <v>250</v>
      </c>
      <c r="Q19" s="34">
        <v>0</v>
      </c>
      <c r="R19" s="47">
        <f t="shared" si="0"/>
        <v>12008</v>
      </c>
      <c r="S19" s="35">
        <f t="shared" si="1"/>
        <v>51794</v>
      </c>
    </row>
    <row r="20" spans="1:20" ht="35.25" customHeight="1" x14ac:dyDescent="0.2">
      <c r="A20" s="24">
        <v>16</v>
      </c>
      <c r="B20" s="25" t="s">
        <v>66</v>
      </c>
      <c r="C20" s="26" t="s">
        <v>67</v>
      </c>
      <c r="D20" s="27" t="s">
        <v>68</v>
      </c>
      <c r="E20" s="25" t="s">
        <v>69</v>
      </c>
      <c r="F20" s="31">
        <v>24500</v>
      </c>
      <c r="G20" s="29">
        <f t="shared" si="3"/>
        <v>14700</v>
      </c>
      <c r="H20" s="30">
        <f t="shared" si="11"/>
        <v>2880</v>
      </c>
      <c r="I20" s="43">
        <f>ROUND(F20*20/100,0)</f>
        <v>4900</v>
      </c>
      <c r="J20" s="32">
        <f>ROUND(SUM(F20+G20)*0.14,0)</f>
        <v>5488</v>
      </c>
      <c r="K20" s="32">
        <f>SUM(F20:J20)</f>
        <v>52468</v>
      </c>
      <c r="L20" s="30">
        <v>200</v>
      </c>
      <c r="M20" s="56">
        <v>0</v>
      </c>
      <c r="N20" s="57">
        <f>ROUND(SUM(F20+G20)*0.1,0)</f>
        <v>3920</v>
      </c>
      <c r="O20" s="30">
        <f>+J20</f>
        <v>5488</v>
      </c>
      <c r="P20" s="30">
        <v>250</v>
      </c>
      <c r="Q20" s="34">
        <v>0</v>
      </c>
      <c r="R20" s="47">
        <f t="shared" si="0"/>
        <v>9858</v>
      </c>
      <c r="S20" s="35">
        <f t="shared" si="1"/>
        <v>42610</v>
      </c>
    </row>
    <row r="21" spans="1:20" ht="45.75" customHeight="1" thickBot="1" x14ac:dyDescent="0.25">
      <c r="A21" s="24">
        <v>17</v>
      </c>
      <c r="B21" s="25" t="s">
        <v>70</v>
      </c>
      <c r="C21" s="26" t="s">
        <v>71</v>
      </c>
      <c r="D21" s="27" t="s">
        <v>68</v>
      </c>
      <c r="E21" s="25" t="s">
        <v>69</v>
      </c>
      <c r="F21" s="31">
        <v>24500</v>
      </c>
      <c r="G21" s="29">
        <f t="shared" si="3"/>
        <v>14700</v>
      </c>
      <c r="H21" s="30">
        <f t="shared" si="11"/>
        <v>2880</v>
      </c>
      <c r="I21" s="43">
        <f>ROUND(F21*20/100,0)</f>
        <v>4900</v>
      </c>
      <c r="J21" s="32">
        <f>ROUND(SUM(F21+G21)*0.14,0)</f>
        <v>5488</v>
      </c>
      <c r="K21" s="32">
        <f>SUM(F21:J21)</f>
        <v>52468</v>
      </c>
      <c r="L21" s="30">
        <v>200</v>
      </c>
      <c r="M21" s="56">
        <v>0</v>
      </c>
      <c r="N21" s="57">
        <f>ROUND(SUM(F21+G21)*0.1,0)</f>
        <v>3920</v>
      </c>
      <c r="O21" s="30">
        <f>+J21</f>
        <v>5488</v>
      </c>
      <c r="P21" s="30">
        <v>250</v>
      </c>
      <c r="Q21" s="34">
        <v>0</v>
      </c>
      <c r="R21" s="47">
        <f t="shared" si="0"/>
        <v>9858</v>
      </c>
      <c r="S21" s="35">
        <f t="shared" si="1"/>
        <v>42610</v>
      </c>
    </row>
    <row r="22" spans="1:20" ht="24.95" customHeight="1" thickBot="1" x14ac:dyDescent="0.25">
      <c r="A22" s="61" t="s">
        <v>72</v>
      </c>
      <c r="B22" s="62"/>
      <c r="C22" s="62"/>
      <c r="D22" s="62"/>
      <c r="E22" s="63"/>
      <c r="F22" s="64">
        <f t="shared" ref="F22:S22" si="14">+SUM(F5:F21)</f>
        <v>969300</v>
      </c>
      <c r="G22" s="64">
        <f t="shared" si="14"/>
        <v>603420</v>
      </c>
      <c r="H22" s="65">
        <f t="shared" si="14"/>
        <v>54720</v>
      </c>
      <c r="I22" s="64">
        <f t="shared" si="14"/>
        <v>164600</v>
      </c>
      <c r="J22" s="64">
        <f t="shared" si="14"/>
        <v>220178</v>
      </c>
      <c r="K22" s="64">
        <f t="shared" si="14"/>
        <v>2012218</v>
      </c>
      <c r="L22" s="64">
        <f t="shared" si="14"/>
        <v>3400</v>
      </c>
      <c r="M22" s="64">
        <f t="shared" si="14"/>
        <v>150000</v>
      </c>
      <c r="N22" s="64">
        <f t="shared" si="14"/>
        <v>157272</v>
      </c>
      <c r="O22" s="64">
        <f t="shared" si="14"/>
        <v>220178</v>
      </c>
      <c r="P22" s="64">
        <f t="shared" si="14"/>
        <v>8700</v>
      </c>
      <c r="Q22" s="64">
        <f t="shared" si="14"/>
        <v>222</v>
      </c>
      <c r="R22" s="64">
        <f t="shared" si="14"/>
        <v>539772</v>
      </c>
      <c r="S22" s="66">
        <f t="shared" si="14"/>
        <v>1472446</v>
      </c>
    </row>
    <row r="23" spans="1:20" ht="24.95" customHeight="1" x14ac:dyDescent="0.2">
      <c r="A23" s="5" t="s">
        <v>73</v>
      </c>
      <c r="Q23" s="67"/>
    </row>
    <row r="24" spans="1:20" ht="24.95" customHeight="1" x14ac:dyDescent="0.2">
      <c r="Q24" s="68"/>
    </row>
    <row r="25" spans="1:20" ht="24.95" customHeight="1" x14ac:dyDescent="0.2">
      <c r="A25" s="2"/>
      <c r="B25" s="2"/>
      <c r="C25" s="3"/>
      <c r="D25" s="3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 t="s">
        <v>74</v>
      </c>
      <c r="Q25" s="69"/>
      <c r="R25" s="69"/>
    </row>
    <row r="26" spans="1:20" ht="24.95" customHeight="1" x14ac:dyDescent="0.2">
      <c r="A26" s="2"/>
      <c r="B26" s="2"/>
      <c r="C26" s="3"/>
      <c r="D26" s="3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</row>
    <row r="27" spans="1:20" ht="24.95" customHeight="1" x14ac:dyDescent="0.2">
      <c r="A27" s="2"/>
      <c r="B27" s="2"/>
      <c r="C27" s="3"/>
      <c r="D27" s="3"/>
      <c r="E27" s="69"/>
      <c r="F27" s="69"/>
      <c r="G27" s="69"/>
      <c r="H27" s="2"/>
      <c r="I27" s="69"/>
      <c r="J27" s="69"/>
      <c r="K27" s="69"/>
      <c r="L27" s="69"/>
      <c r="M27" s="69"/>
      <c r="N27" s="69"/>
      <c r="O27" s="69"/>
      <c r="P27" s="69"/>
      <c r="Q27" s="69"/>
      <c r="R27" s="69"/>
    </row>
    <row r="28" spans="1:20" ht="24.95" customHeight="1" x14ac:dyDescent="0.2">
      <c r="B28" s="70" t="s">
        <v>75</v>
      </c>
      <c r="C28" s="3"/>
      <c r="D28" s="3"/>
      <c r="E28" s="69"/>
      <c r="F28" s="68" t="s">
        <v>76</v>
      </c>
      <c r="G28" s="69"/>
      <c r="H28" s="71"/>
      <c r="I28" s="69"/>
      <c r="J28" s="69"/>
      <c r="K28" s="68" t="s">
        <v>76</v>
      </c>
      <c r="L28" s="69"/>
      <c r="M28" s="69"/>
      <c r="N28" s="69"/>
      <c r="O28" s="69"/>
      <c r="P28" s="69"/>
      <c r="Q28" s="69"/>
      <c r="R28" s="69"/>
    </row>
    <row r="29" spans="1:20" ht="24.95" customHeight="1" x14ac:dyDescent="0.2">
      <c r="B29" s="72" t="s">
        <v>77</v>
      </c>
      <c r="C29" s="3"/>
      <c r="D29" s="3"/>
      <c r="E29" s="69"/>
      <c r="F29" s="68" t="s">
        <v>78</v>
      </c>
      <c r="G29" s="69"/>
      <c r="H29" s="71"/>
      <c r="I29" s="69"/>
      <c r="J29" s="69"/>
      <c r="K29" s="68" t="s">
        <v>79</v>
      </c>
      <c r="L29" s="69"/>
      <c r="M29" s="69"/>
      <c r="N29" s="69"/>
      <c r="O29" s="69"/>
      <c r="P29" s="69" t="s">
        <v>80</v>
      </c>
      <c r="Q29" s="69"/>
      <c r="R29" s="69"/>
    </row>
    <row r="30" spans="1:20" ht="60" customHeight="1" x14ac:dyDescent="0.2">
      <c r="B30" s="72" t="s">
        <v>81</v>
      </c>
      <c r="C30" s="3"/>
      <c r="D30" s="3"/>
      <c r="E30" s="69"/>
      <c r="F30" s="72" t="s">
        <v>82</v>
      </c>
      <c r="G30" s="69"/>
      <c r="H30" s="71"/>
      <c r="I30" s="69"/>
      <c r="J30" s="69"/>
      <c r="K30" s="68" t="s">
        <v>83</v>
      </c>
      <c r="L30" s="69"/>
      <c r="M30" s="69"/>
      <c r="N30" s="69"/>
      <c r="O30" s="69"/>
      <c r="P30" s="69" t="s">
        <v>84</v>
      </c>
      <c r="Q30" s="69"/>
      <c r="R30" s="69"/>
    </row>
    <row r="31" spans="1:20" ht="24.95" customHeight="1" x14ac:dyDescent="0.2"/>
    <row r="35" spans="1:18" ht="34.5" customHeight="1" x14ac:dyDescent="0.2">
      <c r="A35" s="73" t="s">
        <v>85</v>
      </c>
      <c r="B35" s="73"/>
      <c r="C35" s="73"/>
      <c r="D35" s="74" t="s">
        <v>86</v>
      </c>
      <c r="E35" s="74"/>
      <c r="F35" s="75"/>
      <c r="G35" s="76" t="s">
        <v>87</v>
      </c>
      <c r="H35" s="75"/>
      <c r="I35" s="76" t="s">
        <v>88</v>
      </c>
      <c r="J35" s="75"/>
      <c r="M35" s="6"/>
      <c r="N35" s="9"/>
    </row>
    <row r="36" spans="1:18" ht="45" x14ac:dyDescent="0.2">
      <c r="A36" s="77" t="s">
        <v>2</v>
      </c>
      <c r="B36" s="77" t="s">
        <v>3</v>
      </c>
      <c r="C36" s="77" t="s">
        <v>4</v>
      </c>
      <c r="D36" s="78" t="s">
        <v>7</v>
      </c>
      <c r="E36" s="79" t="s">
        <v>8</v>
      </c>
      <c r="F36" s="77" t="s">
        <v>9</v>
      </c>
      <c r="G36" s="79" t="s">
        <v>8</v>
      </c>
      <c r="H36" s="77" t="s">
        <v>9</v>
      </c>
      <c r="I36" s="79" t="s">
        <v>8</v>
      </c>
      <c r="J36" s="80" t="s">
        <v>9</v>
      </c>
      <c r="K36" s="80" t="s">
        <v>89</v>
      </c>
      <c r="L36" s="80" t="s">
        <v>90</v>
      </c>
      <c r="M36" s="80" t="s">
        <v>11</v>
      </c>
      <c r="N36" s="77" t="s">
        <v>91</v>
      </c>
      <c r="O36" s="77" t="s">
        <v>92</v>
      </c>
      <c r="P36" s="77" t="str">
        <f>+M36</f>
        <v>NPS Employer Share</v>
      </c>
      <c r="Q36" s="77" t="s">
        <v>93</v>
      </c>
      <c r="R36" s="77" t="s">
        <v>94</v>
      </c>
    </row>
    <row r="37" spans="1:18" ht="18.95" customHeight="1" x14ac:dyDescent="0.25">
      <c r="A37" s="81">
        <v>1</v>
      </c>
      <c r="B37" s="25" t="s">
        <v>21</v>
      </c>
      <c r="C37" s="26" t="s">
        <v>22</v>
      </c>
      <c r="D37" s="28">
        <v>182700</v>
      </c>
      <c r="E37" s="32">
        <f>ROUND(D37*2%,0)</f>
        <v>3654</v>
      </c>
      <c r="F37" s="82">
        <f>3600*2%</f>
        <v>72</v>
      </c>
      <c r="G37" s="32">
        <f>ROUND(D37*2%,0)</f>
        <v>3654</v>
      </c>
      <c r="H37" s="82">
        <f>3600*2%</f>
        <v>72</v>
      </c>
      <c r="I37" s="32">
        <f>ROUND(D37*2%,0)</f>
        <v>3654</v>
      </c>
      <c r="J37" s="82">
        <f>3600*2%</f>
        <v>72</v>
      </c>
      <c r="K37" s="83">
        <f>+E37+G37+I37</f>
        <v>10962</v>
      </c>
      <c r="L37" s="83">
        <f>+F37+H37+J37</f>
        <v>216</v>
      </c>
      <c r="M37" s="84">
        <f>+ROUND(K37*14/100,0)</f>
        <v>1535</v>
      </c>
      <c r="N37" s="85">
        <f>+K37+L37+M37</f>
        <v>12713</v>
      </c>
      <c r="O37" s="84">
        <f>+ROUND(K37*10/100,0)</f>
        <v>1096</v>
      </c>
      <c r="P37" s="84">
        <f>+M37</f>
        <v>1535</v>
      </c>
      <c r="Q37" s="84">
        <v>0</v>
      </c>
      <c r="R37" s="83">
        <f>+N37-SUM(O37:Q37)</f>
        <v>10082</v>
      </c>
    </row>
    <row r="38" spans="1:18" ht="18.95" customHeight="1" x14ac:dyDescent="0.25">
      <c r="A38" s="81">
        <v>2</v>
      </c>
      <c r="B38" s="25" t="s">
        <v>25</v>
      </c>
      <c r="C38" s="26" t="s">
        <v>26</v>
      </c>
      <c r="D38" s="36">
        <v>130600</v>
      </c>
      <c r="E38" s="32">
        <f t="shared" ref="E38:E53" si="15">ROUND(D38*2%,0)</f>
        <v>2612</v>
      </c>
      <c r="F38" s="82">
        <f t="shared" ref="F38:J42" si="16">3600*2%</f>
        <v>72</v>
      </c>
      <c r="G38" s="32">
        <f t="shared" ref="G38:G53" si="17">ROUND(D38*2%,0)</f>
        <v>2612</v>
      </c>
      <c r="H38" s="82">
        <f t="shared" si="16"/>
        <v>72</v>
      </c>
      <c r="I38" s="32">
        <f t="shared" ref="I38:I53" si="18">ROUND(D38*2%,0)</f>
        <v>2612</v>
      </c>
      <c r="J38" s="82">
        <f t="shared" si="16"/>
        <v>72</v>
      </c>
      <c r="K38" s="83">
        <f t="shared" ref="K38:L53" si="19">+E38+G38+I38</f>
        <v>7836</v>
      </c>
      <c r="L38" s="83">
        <f t="shared" si="19"/>
        <v>216</v>
      </c>
      <c r="M38" s="84">
        <f t="shared" ref="M38:M53" si="20">+ROUND(K38*14/100,0)</f>
        <v>1097</v>
      </c>
      <c r="N38" s="85">
        <f t="shared" ref="N38:N53" si="21">+K38+L38+M38</f>
        <v>9149</v>
      </c>
      <c r="O38" s="84">
        <f t="shared" ref="O38:O53" si="22">+ROUND(K38*10/100,0)</f>
        <v>784</v>
      </c>
      <c r="P38" s="84">
        <f t="shared" ref="P38:P53" si="23">+M38</f>
        <v>1097</v>
      </c>
      <c r="Q38" s="84">
        <v>0</v>
      </c>
      <c r="R38" s="83">
        <f>+N38-SUM(O38:Q38)</f>
        <v>7268</v>
      </c>
    </row>
    <row r="39" spans="1:18" ht="18.95" customHeight="1" x14ac:dyDescent="0.25">
      <c r="A39" s="81">
        <v>3</v>
      </c>
      <c r="B39" s="25" t="s">
        <v>29</v>
      </c>
      <c r="C39" s="26" t="s">
        <v>30</v>
      </c>
      <c r="D39" s="42">
        <v>151400</v>
      </c>
      <c r="E39" s="32">
        <f t="shared" si="15"/>
        <v>3028</v>
      </c>
      <c r="F39" s="82">
        <f t="shared" si="16"/>
        <v>72</v>
      </c>
      <c r="G39" s="32">
        <f t="shared" si="17"/>
        <v>3028</v>
      </c>
      <c r="H39" s="82">
        <f t="shared" si="16"/>
        <v>72</v>
      </c>
      <c r="I39" s="32">
        <f t="shared" si="18"/>
        <v>3028</v>
      </c>
      <c r="J39" s="82">
        <f t="shared" si="16"/>
        <v>72</v>
      </c>
      <c r="K39" s="83">
        <f t="shared" si="19"/>
        <v>9084</v>
      </c>
      <c r="L39" s="83">
        <f t="shared" si="19"/>
        <v>216</v>
      </c>
      <c r="M39" s="84">
        <f t="shared" si="20"/>
        <v>1272</v>
      </c>
      <c r="N39" s="85">
        <f t="shared" si="21"/>
        <v>10572</v>
      </c>
      <c r="O39" s="84">
        <f t="shared" si="22"/>
        <v>908</v>
      </c>
      <c r="P39" s="84">
        <f t="shared" si="23"/>
        <v>1272</v>
      </c>
      <c r="Q39" s="84">
        <v>0</v>
      </c>
      <c r="R39" s="83">
        <f t="shared" ref="R39:R53" si="24">+N39-SUM(O39:Q39)</f>
        <v>8392</v>
      </c>
    </row>
    <row r="40" spans="1:18" ht="18.95" customHeight="1" x14ac:dyDescent="0.25">
      <c r="A40" s="81">
        <v>4</v>
      </c>
      <c r="B40" s="25" t="s">
        <v>32</v>
      </c>
      <c r="C40" s="26" t="s">
        <v>33</v>
      </c>
      <c r="D40" s="45">
        <v>61300</v>
      </c>
      <c r="E40" s="32">
        <f t="shared" si="15"/>
        <v>1226</v>
      </c>
      <c r="F40" s="82">
        <f t="shared" si="16"/>
        <v>72</v>
      </c>
      <c r="G40" s="32">
        <f t="shared" si="17"/>
        <v>1226</v>
      </c>
      <c r="H40" s="82">
        <f t="shared" si="16"/>
        <v>72</v>
      </c>
      <c r="I40" s="32">
        <f t="shared" si="18"/>
        <v>1226</v>
      </c>
      <c r="J40" s="82">
        <f t="shared" si="16"/>
        <v>72</v>
      </c>
      <c r="K40" s="83">
        <f t="shared" si="19"/>
        <v>3678</v>
      </c>
      <c r="L40" s="83">
        <f t="shared" si="19"/>
        <v>216</v>
      </c>
      <c r="M40" s="84">
        <f t="shared" si="20"/>
        <v>515</v>
      </c>
      <c r="N40" s="85">
        <f t="shared" si="21"/>
        <v>4409</v>
      </c>
      <c r="O40" s="84">
        <f t="shared" si="22"/>
        <v>368</v>
      </c>
      <c r="P40" s="84">
        <f t="shared" si="23"/>
        <v>515</v>
      </c>
      <c r="Q40" s="84">
        <v>0</v>
      </c>
      <c r="R40" s="83">
        <f t="shared" si="24"/>
        <v>3526</v>
      </c>
    </row>
    <row r="41" spans="1:18" ht="18.95" customHeight="1" x14ac:dyDescent="0.25">
      <c r="A41" s="81">
        <v>5</v>
      </c>
      <c r="B41" s="49" t="s">
        <v>36</v>
      </c>
      <c r="C41" s="26" t="s">
        <v>37</v>
      </c>
      <c r="D41" s="50">
        <v>57800</v>
      </c>
      <c r="E41" s="32">
        <f t="shared" si="15"/>
        <v>1156</v>
      </c>
      <c r="F41" s="82">
        <f t="shared" si="16"/>
        <v>72</v>
      </c>
      <c r="G41" s="32">
        <f t="shared" si="17"/>
        <v>1156</v>
      </c>
      <c r="H41" s="82">
        <f t="shared" si="16"/>
        <v>72</v>
      </c>
      <c r="I41" s="32">
        <f t="shared" si="18"/>
        <v>1156</v>
      </c>
      <c r="J41" s="82">
        <f t="shared" si="16"/>
        <v>72</v>
      </c>
      <c r="K41" s="83">
        <f t="shared" si="19"/>
        <v>3468</v>
      </c>
      <c r="L41" s="83">
        <f t="shared" si="19"/>
        <v>216</v>
      </c>
      <c r="M41" s="84">
        <f t="shared" si="20"/>
        <v>486</v>
      </c>
      <c r="N41" s="85">
        <f t="shared" si="21"/>
        <v>4170</v>
      </c>
      <c r="O41" s="84">
        <f t="shared" si="22"/>
        <v>347</v>
      </c>
      <c r="P41" s="84">
        <f t="shared" si="23"/>
        <v>486</v>
      </c>
      <c r="Q41" s="84">
        <v>0</v>
      </c>
      <c r="R41" s="83">
        <f t="shared" si="24"/>
        <v>3337</v>
      </c>
    </row>
    <row r="42" spans="1:18" ht="18.95" customHeight="1" x14ac:dyDescent="0.25">
      <c r="A42" s="81">
        <v>6</v>
      </c>
      <c r="B42" s="25" t="s">
        <v>39</v>
      </c>
      <c r="C42" s="27" t="s">
        <v>40</v>
      </c>
      <c r="D42" s="52">
        <v>57800</v>
      </c>
      <c r="E42" s="32">
        <f t="shared" si="15"/>
        <v>1156</v>
      </c>
      <c r="F42" s="82">
        <f t="shared" si="16"/>
        <v>72</v>
      </c>
      <c r="G42" s="32">
        <f t="shared" si="17"/>
        <v>1156</v>
      </c>
      <c r="H42" s="82">
        <f t="shared" si="16"/>
        <v>72</v>
      </c>
      <c r="I42" s="32">
        <f t="shared" si="18"/>
        <v>1156</v>
      </c>
      <c r="J42" s="82">
        <v>0</v>
      </c>
      <c r="K42" s="83">
        <f t="shared" si="19"/>
        <v>3468</v>
      </c>
      <c r="L42" s="83">
        <f t="shared" si="19"/>
        <v>144</v>
      </c>
      <c r="M42" s="84">
        <f t="shared" si="20"/>
        <v>486</v>
      </c>
      <c r="N42" s="85">
        <f t="shared" si="21"/>
        <v>4098</v>
      </c>
      <c r="O42" s="84">
        <f t="shared" si="22"/>
        <v>347</v>
      </c>
      <c r="P42" s="84">
        <f t="shared" si="23"/>
        <v>486</v>
      </c>
      <c r="Q42" s="84">
        <v>0</v>
      </c>
      <c r="R42" s="83">
        <f t="shared" si="24"/>
        <v>3265</v>
      </c>
    </row>
    <row r="43" spans="1:18" ht="18.95" customHeight="1" x14ac:dyDescent="0.25">
      <c r="A43" s="81">
        <v>7</v>
      </c>
      <c r="B43" s="25" t="s">
        <v>41</v>
      </c>
      <c r="C43" s="26" t="s">
        <v>42</v>
      </c>
      <c r="D43" s="34">
        <v>49000</v>
      </c>
      <c r="E43" s="32">
        <f t="shared" si="15"/>
        <v>980</v>
      </c>
      <c r="F43" s="82">
        <f t="shared" ref="F43:J53" si="25">1800*2%</f>
        <v>36</v>
      </c>
      <c r="G43" s="32">
        <f t="shared" si="17"/>
        <v>980</v>
      </c>
      <c r="H43" s="82">
        <f t="shared" si="25"/>
        <v>36</v>
      </c>
      <c r="I43" s="32">
        <f t="shared" si="18"/>
        <v>980</v>
      </c>
      <c r="J43" s="82">
        <f t="shared" si="25"/>
        <v>36</v>
      </c>
      <c r="K43" s="83">
        <f t="shared" si="19"/>
        <v>2940</v>
      </c>
      <c r="L43" s="83">
        <f t="shared" si="19"/>
        <v>108</v>
      </c>
      <c r="M43" s="84">
        <f t="shared" si="20"/>
        <v>412</v>
      </c>
      <c r="N43" s="85">
        <f t="shared" si="21"/>
        <v>3460</v>
      </c>
      <c r="O43" s="84">
        <f t="shared" si="22"/>
        <v>294</v>
      </c>
      <c r="P43" s="84">
        <f t="shared" si="23"/>
        <v>412</v>
      </c>
      <c r="Q43" s="84">
        <v>0</v>
      </c>
      <c r="R43" s="83">
        <f t="shared" si="24"/>
        <v>2754</v>
      </c>
    </row>
    <row r="44" spans="1:18" ht="18.95" customHeight="1" x14ac:dyDescent="0.25">
      <c r="A44" s="81">
        <v>8</v>
      </c>
      <c r="B44" s="25" t="s">
        <v>45</v>
      </c>
      <c r="C44" s="26" t="s">
        <v>46</v>
      </c>
      <c r="D44" s="31">
        <v>49000</v>
      </c>
      <c r="E44" s="32">
        <f t="shared" si="15"/>
        <v>980</v>
      </c>
      <c r="F44" s="82">
        <f t="shared" si="25"/>
        <v>36</v>
      </c>
      <c r="G44" s="32">
        <f t="shared" si="17"/>
        <v>980</v>
      </c>
      <c r="H44" s="82">
        <f t="shared" si="25"/>
        <v>36</v>
      </c>
      <c r="I44" s="32">
        <f t="shared" si="18"/>
        <v>980</v>
      </c>
      <c r="J44" s="82">
        <f t="shared" si="25"/>
        <v>36</v>
      </c>
      <c r="K44" s="83">
        <f t="shared" si="19"/>
        <v>2940</v>
      </c>
      <c r="L44" s="83">
        <f t="shared" si="19"/>
        <v>108</v>
      </c>
      <c r="M44" s="84">
        <f t="shared" si="20"/>
        <v>412</v>
      </c>
      <c r="N44" s="85">
        <f t="shared" si="21"/>
        <v>3460</v>
      </c>
      <c r="O44" s="84">
        <f t="shared" si="22"/>
        <v>294</v>
      </c>
      <c r="P44" s="84">
        <f t="shared" si="23"/>
        <v>412</v>
      </c>
      <c r="Q44" s="84">
        <v>0</v>
      </c>
      <c r="R44" s="83">
        <f t="shared" si="24"/>
        <v>2754</v>
      </c>
    </row>
    <row r="45" spans="1:18" ht="18.95" customHeight="1" x14ac:dyDescent="0.25">
      <c r="A45" s="81">
        <v>9</v>
      </c>
      <c r="B45" s="26" t="s">
        <v>47</v>
      </c>
      <c r="C45" s="26" t="s">
        <v>48</v>
      </c>
      <c r="D45" s="31">
        <v>36500</v>
      </c>
      <c r="E45" s="32">
        <f t="shared" si="15"/>
        <v>730</v>
      </c>
      <c r="F45" s="82">
        <f t="shared" si="25"/>
        <v>36</v>
      </c>
      <c r="G45" s="32">
        <f t="shared" si="17"/>
        <v>730</v>
      </c>
      <c r="H45" s="82">
        <f t="shared" si="25"/>
        <v>36</v>
      </c>
      <c r="I45" s="32">
        <f t="shared" si="18"/>
        <v>730</v>
      </c>
      <c r="J45" s="82">
        <f t="shared" si="25"/>
        <v>36</v>
      </c>
      <c r="K45" s="83">
        <f t="shared" si="19"/>
        <v>2190</v>
      </c>
      <c r="L45" s="83">
        <f t="shared" si="19"/>
        <v>108</v>
      </c>
      <c r="M45" s="84">
        <f t="shared" si="20"/>
        <v>307</v>
      </c>
      <c r="N45" s="85">
        <f t="shared" si="21"/>
        <v>2605</v>
      </c>
      <c r="O45" s="84">
        <f t="shared" si="22"/>
        <v>219</v>
      </c>
      <c r="P45" s="84">
        <f t="shared" si="23"/>
        <v>307</v>
      </c>
      <c r="Q45" s="84">
        <v>0</v>
      </c>
      <c r="R45" s="83">
        <f t="shared" si="24"/>
        <v>2079</v>
      </c>
    </row>
    <row r="46" spans="1:18" ht="18.95" customHeight="1" x14ac:dyDescent="0.25">
      <c r="A46" s="81">
        <v>10</v>
      </c>
      <c r="B46" s="25" t="s">
        <v>51</v>
      </c>
      <c r="C46" s="26" t="s">
        <v>52</v>
      </c>
      <c r="D46" s="31">
        <v>30100</v>
      </c>
      <c r="E46" s="32">
        <f t="shared" si="15"/>
        <v>602</v>
      </c>
      <c r="F46" s="82">
        <f t="shared" si="25"/>
        <v>36</v>
      </c>
      <c r="G46" s="32">
        <f t="shared" si="17"/>
        <v>602</v>
      </c>
      <c r="H46" s="82">
        <f t="shared" si="25"/>
        <v>36</v>
      </c>
      <c r="I46" s="32">
        <f t="shared" si="18"/>
        <v>602</v>
      </c>
      <c r="J46" s="82">
        <f t="shared" si="25"/>
        <v>36</v>
      </c>
      <c r="K46" s="83">
        <f t="shared" si="19"/>
        <v>1806</v>
      </c>
      <c r="L46" s="83">
        <f t="shared" si="19"/>
        <v>108</v>
      </c>
      <c r="M46" s="84">
        <f t="shared" si="20"/>
        <v>253</v>
      </c>
      <c r="N46" s="85">
        <f t="shared" si="21"/>
        <v>2167</v>
      </c>
      <c r="O46" s="84">
        <f t="shared" si="22"/>
        <v>181</v>
      </c>
      <c r="P46" s="84">
        <f t="shared" si="23"/>
        <v>253</v>
      </c>
      <c r="Q46" s="84">
        <v>0</v>
      </c>
      <c r="R46" s="83">
        <f t="shared" si="24"/>
        <v>1733</v>
      </c>
    </row>
    <row r="47" spans="1:18" ht="18.95" customHeight="1" x14ac:dyDescent="0.25">
      <c r="A47" s="81">
        <v>11</v>
      </c>
      <c r="B47" s="25" t="s">
        <v>55</v>
      </c>
      <c r="C47" s="26" t="s">
        <v>56</v>
      </c>
      <c r="D47" s="31">
        <v>30100</v>
      </c>
      <c r="E47" s="32">
        <f t="shared" si="15"/>
        <v>602</v>
      </c>
      <c r="F47" s="82">
        <f t="shared" si="25"/>
        <v>36</v>
      </c>
      <c r="G47" s="32">
        <f t="shared" si="17"/>
        <v>602</v>
      </c>
      <c r="H47" s="82">
        <f t="shared" si="25"/>
        <v>36</v>
      </c>
      <c r="I47" s="32">
        <f t="shared" si="18"/>
        <v>602</v>
      </c>
      <c r="J47" s="82">
        <f t="shared" si="25"/>
        <v>36</v>
      </c>
      <c r="K47" s="83">
        <f t="shared" si="19"/>
        <v>1806</v>
      </c>
      <c r="L47" s="83">
        <f t="shared" si="19"/>
        <v>108</v>
      </c>
      <c r="M47" s="84">
        <f t="shared" si="20"/>
        <v>253</v>
      </c>
      <c r="N47" s="85">
        <f t="shared" si="21"/>
        <v>2167</v>
      </c>
      <c r="O47" s="84">
        <f t="shared" si="22"/>
        <v>181</v>
      </c>
      <c r="P47" s="84">
        <f t="shared" si="23"/>
        <v>253</v>
      </c>
      <c r="Q47" s="84">
        <v>0</v>
      </c>
      <c r="R47" s="83">
        <f t="shared" si="24"/>
        <v>1733</v>
      </c>
    </row>
    <row r="48" spans="1:18" ht="18.95" customHeight="1" x14ac:dyDescent="0.25">
      <c r="A48" s="81">
        <v>12</v>
      </c>
      <c r="B48" s="25" t="s">
        <v>58</v>
      </c>
      <c r="C48" s="26" t="s">
        <v>59</v>
      </c>
      <c r="D48" s="31">
        <v>30100</v>
      </c>
      <c r="E48" s="32">
        <f t="shared" si="15"/>
        <v>602</v>
      </c>
      <c r="F48" s="82">
        <f t="shared" si="25"/>
        <v>36</v>
      </c>
      <c r="G48" s="32">
        <f t="shared" si="17"/>
        <v>602</v>
      </c>
      <c r="H48" s="82">
        <f t="shared" si="25"/>
        <v>36</v>
      </c>
      <c r="I48" s="32">
        <f t="shared" si="18"/>
        <v>602</v>
      </c>
      <c r="J48" s="82">
        <f t="shared" si="25"/>
        <v>36</v>
      </c>
      <c r="K48" s="83">
        <f t="shared" si="19"/>
        <v>1806</v>
      </c>
      <c r="L48" s="83">
        <f t="shared" si="19"/>
        <v>108</v>
      </c>
      <c r="M48" s="84">
        <f t="shared" si="20"/>
        <v>253</v>
      </c>
      <c r="N48" s="85">
        <f t="shared" si="21"/>
        <v>2167</v>
      </c>
      <c r="O48" s="84">
        <f t="shared" si="22"/>
        <v>181</v>
      </c>
      <c r="P48" s="84">
        <f t="shared" si="23"/>
        <v>253</v>
      </c>
      <c r="Q48" s="84">
        <v>0</v>
      </c>
      <c r="R48" s="83">
        <f t="shared" si="24"/>
        <v>1733</v>
      </c>
    </row>
    <row r="49" spans="1:19" ht="29.25" customHeight="1" x14ac:dyDescent="0.25">
      <c r="A49" s="81">
        <v>13</v>
      </c>
      <c r="B49" s="25" t="s">
        <v>60</v>
      </c>
      <c r="C49" s="26" t="s">
        <v>61</v>
      </c>
      <c r="D49" s="31">
        <v>30100</v>
      </c>
      <c r="E49" s="32">
        <f t="shared" si="15"/>
        <v>602</v>
      </c>
      <c r="F49" s="82">
        <f t="shared" si="25"/>
        <v>36</v>
      </c>
      <c r="G49" s="32">
        <f t="shared" si="17"/>
        <v>602</v>
      </c>
      <c r="H49" s="82">
        <f t="shared" si="25"/>
        <v>36</v>
      </c>
      <c r="I49" s="32">
        <f t="shared" si="18"/>
        <v>602</v>
      </c>
      <c r="J49" s="82">
        <f t="shared" si="25"/>
        <v>36</v>
      </c>
      <c r="K49" s="83">
        <f t="shared" si="19"/>
        <v>1806</v>
      </c>
      <c r="L49" s="83">
        <f t="shared" si="19"/>
        <v>108</v>
      </c>
      <c r="M49" s="84">
        <f t="shared" si="20"/>
        <v>253</v>
      </c>
      <c r="N49" s="85">
        <f t="shared" si="21"/>
        <v>2167</v>
      </c>
      <c r="O49" s="84">
        <f t="shared" si="22"/>
        <v>181</v>
      </c>
      <c r="P49" s="84">
        <f t="shared" si="23"/>
        <v>253</v>
      </c>
      <c r="Q49" s="84">
        <v>0</v>
      </c>
      <c r="R49" s="83">
        <f t="shared" si="24"/>
        <v>1733</v>
      </c>
    </row>
    <row r="50" spans="1:19" ht="44.25" customHeight="1" x14ac:dyDescent="0.25">
      <c r="A50" s="81">
        <v>14</v>
      </c>
      <c r="B50" s="25" t="s">
        <v>62</v>
      </c>
      <c r="C50" s="26" t="s">
        <v>63</v>
      </c>
      <c r="D50" s="31">
        <v>30100</v>
      </c>
      <c r="E50" s="32">
        <f t="shared" si="15"/>
        <v>602</v>
      </c>
      <c r="F50" s="82">
        <f t="shared" si="25"/>
        <v>36</v>
      </c>
      <c r="G50" s="32">
        <f t="shared" si="17"/>
        <v>602</v>
      </c>
      <c r="H50" s="82">
        <f t="shared" si="25"/>
        <v>36</v>
      </c>
      <c r="I50" s="32">
        <f t="shared" si="18"/>
        <v>602</v>
      </c>
      <c r="J50" s="82">
        <f t="shared" si="25"/>
        <v>36</v>
      </c>
      <c r="K50" s="83">
        <f t="shared" si="19"/>
        <v>1806</v>
      </c>
      <c r="L50" s="83">
        <f t="shared" si="19"/>
        <v>108</v>
      </c>
      <c r="M50" s="84">
        <f t="shared" si="20"/>
        <v>253</v>
      </c>
      <c r="N50" s="85">
        <f t="shared" si="21"/>
        <v>2167</v>
      </c>
      <c r="O50" s="84">
        <f t="shared" si="22"/>
        <v>181</v>
      </c>
      <c r="P50" s="84">
        <f t="shared" si="23"/>
        <v>253</v>
      </c>
      <c r="Q50" s="84">
        <v>0</v>
      </c>
      <c r="R50" s="83">
        <f t="shared" si="24"/>
        <v>1733</v>
      </c>
    </row>
    <row r="51" spans="1:19" ht="18.95" customHeight="1" x14ac:dyDescent="0.25">
      <c r="A51" s="81">
        <v>15</v>
      </c>
      <c r="B51" s="25" t="s">
        <v>64</v>
      </c>
      <c r="C51" s="26" t="s">
        <v>65</v>
      </c>
      <c r="D51" s="31">
        <v>30100</v>
      </c>
      <c r="E51" s="86">
        <f t="shared" si="15"/>
        <v>602</v>
      </c>
      <c r="F51" s="82">
        <f t="shared" si="25"/>
        <v>36</v>
      </c>
      <c r="G51" s="86">
        <f t="shared" si="17"/>
        <v>602</v>
      </c>
      <c r="H51" s="82">
        <f t="shared" si="25"/>
        <v>36</v>
      </c>
      <c r="I51" s="32">
        <f t="shared" si="18"/>
        <v>602</v>
      </c>
      <c r="J51" s="82">
        <f t="shared" si="25"/>
        <v>36</v>
      </c>
      <c r="K51" s="83">
        <f t="shared" si="19"/>
        <v>1806</v>
      </c>
      <c r="L51" s="83">
        <f t="shared" si="19"/>
        <v>108</v>
      </c>
      <c r="M51" s="84">
        <f t="shared" si="20"/>
        <v>253</v>
      </c>
      <c r="N51" s="85">
        <f t="shared" si="21"/>
        <v>2167</v>
      </c>
      <c r="O51" s="84">
        <f t="shared" si="22"/>
        <v>181</v>
      </c>
      <c r="P51" s="84">
        <f t="shared" si="23"/>
        <v>253</v>
      </c>
      <c r="Q51" s="84">
        <v>0</v>
      </c>
      <c r="R51" s="83">
        <f t="shared" si="24"/>
        <v>1733</v>
      </c>
    </row>
    <row r="52" spans="1:19" ht="18.95" customHeight="1" x14ac:dyDescent="0.25">
      <c r="A52" s="81">
        <v>16</v>
      </c>
      <c r="B52" s="25" t="s">
        <v>66</v>
      </c>
      <c r="C52" s="26" t="s">
        <v>67</v>
      </c>
      <c r="D52" s="31">
        <v>24500</v>
      </c>
      <c r="E52" s="30">
        <f t="shared" si="15"/>
        <v>490</v>
      </c>
      <c r="F52" s="82">
        <f t="shared" si="25"/>
        <v>36</v>
      </c>
      <c r="G52" s="30">
        <f t="shared" si="17"/>
        <v>490</v>
      </c>
      <c r="H52" s="82">
        <f t="shared" si="25"/>
        <v>36</v>
      </c>
      <c r="I52" s="32">
        <f t="shared" si="18"/>
        <v>490</v>
      </c>
      <c r="J52" s="82">
        <f t="shared" si="25"/>
        <v>36</v>
      </c>
      <c r="K52" s="83">
        <f t="shared" si="19"/>
        <v>1470</v>
      </c>
      <c r="L52" s="83">
        <f t="shared" si="19"/>
        <v>108</v>
      </c>
      <c r="M52" s="84">
        <f t="shared" si="20"/>
        <v>206</v>
      </c>
      <c r="N52" s="85">
        <f t="shared" si="21"/>
        <v>1784</v>
      </c>
      <c r="O52" s="84">
        <f t="shared" si="22"/>
        <v>147</v>
      </c>
      <c r="P52" s="84">
        <f t="shared" si="23"/>
        <v>206</v>
      </c>
      <c r="Q52" s="84">
        <v>0</v>
      </c>
      <c r="R52" s="83">
        <f t="shared" si="24"/>
        <v>1431</v>
      </c>
    </row>
    <row r="53" spans="1:19" ht="18.95" customHeight="1" x14ac:dyDescent="0.25">
      <c r="A53" s="81">
        <v>17</v>
      </c>
      <c r="B53" s="25" t="s">
        <v>70</v>
      </c>
      <c r="C53" s="26" t="s">
        <v>71</v>
      </c>
      <c r="D53" s="31">
        <v>24500</v>
      </c>
      <c r="E53" s="30">
        <f t="shared" si="15"/>
        <v>490</v>
      </c>
      <c r="F53" s="82">
        <f t="shared" si="25"/>
        <v>36</v>
      </c>
      <c r="G53" s="30">
        <f t="shared" si="17"/>
        <v>490</v>
      </c>
      <c r="H53" s="82">
        <f t="shared" si="25"/>
        <v>36</v>
      </c>
      <c r="I53" s="32">
        <f t="shared" si="18"/>
        <v>490</v>
      </c>
      <c r="J53" s="82">
        <f t="shared" si="25"/>
        <v>36</v>
      </c>
      <c r="K53" s="83">
        <f t="shared" si="19"/>
        <v>1470</v>
      </c>
      <c r="L53" s="83">
        <f t="shared" si="19"/>
        <v>108</v>
      </c>
      <c r="M53" s="84">
        <f t="shared" si="20"/>
        <v>206</v>
      </c>
      <c r="N53" s="85">
        <f t="shared" si="21"/>
        <v>1784</v>
      </c>
      <c r="O53" s="84">
        <f t="shared" si="22"/>
        <v>147</v>
      </c>
      <c r="P53" s="84">
        <f t="shared" si="23"/>
        <v>206</v>
      </c>
      <c r="Q53" s="84">
        <v>0</v>
      </c>
      <c r="R53" s="83">
        <f t="shared" si="24"/>
        <v>1431</v>
      </c>
    </row>
    <row r="54" spans="1:19" ht="18.95" customHeight="1" x14ac:dyDescent="0.2">
      <c r="A54" s="74" t="s">
        <v>95</v>
      </c>
      <c r="B54" s="74"/>
      <c r="C54" s="74"/>
      <c r="D54" s="87"/>
      <c r="E54" s="88">
        <f t="shared" ref="E54:R54" si="26">+SUM(E37:E53)</f>
        <v>20114</v>
      </c>
      <c r="F54" s="88">
        <f t="shared" si="26"/>
        <v>828</v>
      </c>
      <c r="G54" s="88">
        <f t="shared" si="26"/>
        <v>20114</v>
      </c>
      <c r="H54" s="88">
        <f t="shared" si="26"/>
        <v>828</v>
      </c>
      <c r="I54" s="88">
        <f t="shared" si="26"/>
        <v>20114</v>
      </c>
      <c r="J54" s="88">
        <f t="shared" si="26"/>
        <v>756</v>
      </c>
      <c r="K54" s="88">
        <f t="shared" si="26"/>
        <v>60342</v>
      </c>
      <c r="L54" s="88">
        <f t="shared" si="26"/>
        <v>2412</v>
      </c>
      <c r="M54" s="88">
        <f t="shared" si="26"/>
        <v>8452</v>
      </c>
      <c r="N54" s="88">
        <f t="shared" si="26"/>
        <v>71206</v>
      </c>
      <c r="O54" s="88">
        <f t="shared" si="26"/>
        <v>6037</v>
      </c>
      <c r="P54" s="88">
        <f t="shared" si="26"/>
        <v>8452</v>
      </c>
      <c r="Q54" s="88">
        <f t="shared" si="26"/>
        <v>0</v>
      </c>
      <c r="R54" s="88">
        <f t="shared" si="26"/>
        <v>56717</v>
      </c>
    </row>
    <row r="60" spans="1:19" ht="24.95" customHeight="1" x14ac:dyDescent="0.2">
      <c r="Q60" s="68"/>
    </row>
    <row r="61" spans="1:19" s="92" customFormat="1" ht="24.95" customHeight="1" x14ac:dyDescent="0.2">
      <c r="A61" s="71"/>
      <c r="B61" s="71"/>
      <c r="C61" s="89"/>
      <c r="D61" s="89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 t="s">
        <v>74</v>
      </c>
      <c r="Q61" s="90"/>
      <c r="R61" s="90"/>
      <c r="S61" s="91"/>
    </row>
    <row r="62" spans="1:19" s="92" customFormat="1" ht="24.95" customHeight="1" x14ac:dyDescent="0.2">
      <c r="A62" s="71"/>
      <c r="B62" s="71"/>
      <c r="C62" s="89"/>
      <c r="D62" s="89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1"/>
    </row>
    <row r="63" spans="1:19" s="92" customFormat="1" ht="24.95" customHeight="1" x14ac:dyDescent="0.2">
      <c r="A63" s="71"/>
      <c r="B63" s="71"/>
      <c r="C63" s="89"/>
      <c r="D63" s="89"/>
      <c r="E63" s="90"/>
      <c r="F63" s="90"/>
      <c r="G63" s="90"/>
      <c r="H63" s="71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1"/>
    </row>
    <row r="64" spans="1:19" s="92" customFormat="1" ht="24.95" customHeight="1" x14ac:dyDescent="0.2">
      <c r="B64" s="93" t="s">
        <v>75</v>
      </c>
      <c r="C64" s="89"/>
      <c r="D64" s="89"/>
      <c r="E64" s="90"/>
      <c r="F64" s="94" t="s">
        <v>76</v>
      </c>
      <c r="G64" s="90"/>
      <c r="H64" s="71"/>
      <c r="I64" s="90"/>
      <c r="J64" s="90"/>
      <c r="K64" s="94" t="s">
        <v>76</v>
      </c>
      <c r="L64" s="90"/>
      <c r="M64" s="90"/>
      <c r="N64" s="90"/>
      <c r="O64" s="90"/>
      <c r="P64" s="90"/>
      <c r="Q64" s="90"/>
      <c r="R64" s="90"/>
      <c r="S64" s="91"/>
    </row>
    <row r="65" spans="2:19" s="92" customFormat="1" ht="24.95" customHeight="1" x14ac:dyDescent="0.2">
      <c r="B65" s="95" t="s">
        <v>77</v>
      </c>
      <c r="C65" s="89"/>
      <c r="D65" s="89"/>
      <c r="E65" s="90"/>
      <c r="F65" s="94" t="s">
        <v>78</v>
      </c>
      <c r="G65" s="90"/>
      <c r="H65" s="71"/>
      <c r="I65" s="90"/>
      <c r="J65" s="90"/>
      <c r="K65" s="94" t="s">
        <v>79</v>
      </c>
      <c r="L65" s="90"/>
      <c r="M65" s="90"/>
      <c r="N65" s="90"/>
      <c r="O65" s="90"/>
      <c r="P65" s="90" t="s">
        <v>80</v>
      </c>
      <c r="Q65" s="90"/>
      <c r="R65" s="90"/>
      <c r="S65" s="91"/>
    </row>
    <row r="66" spans="2:19" s="92" customFormat="1" ht="60" customHeight="1" x14ac:dyDescent="0.2">
      <c r="B66" s="95" t="s">
        <v>81</v>
      </c>
      <c r="C66" s="89"/>
      <c r="D66" s="89"/>
      <c r="E66" s="90"/>
      <c r="F66" s="95" t="s">
        <v>82</v>
      </c>
      <c r="G66" s="90"/>
      <c r="H66" s="71"/>
      <c r="I66" s="90"/>
      <c r="J66" s="90"/>
      <c r="K66" s="94" t="s">
        <v>83</v>
      </c>
      <c r="L66" s="90"/>
      <c r="M66" s="90"/>
      <c r="N66" s="90"/>
      <c r="O66" s="90"/>
      <c r="P66" s="90" t="s">
        <v>84</v>
      </c>
      <c r="Q66" s="90"/>
      <c r="R66" s="90"/>
      <c r="S66" s="91"/>
    </row>
    <row r="67" spans="2:19" s="92" customFormat="1" ht="14.25" x14ac:dyDescent="0.2">
      <c r="B67" s="91"/>
      <c r="C67" s="96"/>
      <c r="D67" s="97"/>
      <c r="E67" s="98"/>
      <c r="F67" s="99"/>
      <c r="G67" s="99"/>
      <c r="H67" s="91"/>
      <c r="I67" s="91"/>
      <c r="J67" s="91"/>
      <c r="K67" s="91"/>
      <c r="L67" s="91"/>
      <c r="M67" s="100"/>
      <c r="N67" s="91"/>
      <c r="O67" s="91"/>
      <c r="P67" s="91"/>
      <c r="Q67" s="91"/>
      <c r="R67" s="91"/>
      <c r="S67" s="91"/>
    </row>
  </sheetData>
  <mergeCells count="6">
    <mergeCell ref="E1:N1"/>
    <mergeCell ref="A3:S3"/>
    <mergeCell ref="A22:E22"/>
    <mergeCell ref="A35:C35"/>
    <mergeCell ref="D35:E35"/>
    <mergeCell ref="A54:C54"/>
  </mergeCells>
  <conditionalFormatting sqref="A22 A3 C4:C7 C9:C10">
    <cfRule type="duplicateValues" dxfId="4" priority="4"/>
  </conditionalFormatting>
  <conditionalFormatting sqref="C11:C21 C8">
    <cfRule type="duplicateValues" dxfId="3" priority="5"/>
  </conditionalFormatting>
  <conditionalFormatting sqref="C36">
    <cfRule type="duplicateValues" dxfId="2" priority="3"/>
  </conditionalFormatting>
  <conditionalFormatting sqref="C37:C39 C41:C42">
    <cfRule type="duplicateValues" dxfId="1" priority="1"/>
  </conditionalFormatting>
  <conditionalFormatting sqref="C43:C53 C40">
    <cfRule type="duplicateValues" dxfId="0" priority="2"/>
  </conditionalFormatting>
  <printOptions horizontalCentered="1"/>
  <pageMargins left="0" right="0" top="0" bottom="0" header="0" footer="0"/>
  <pageSetup paperSize="8" scale="75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Staff</vt:lpstr>
      <vt:lpstr>Staff!Print_Area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IIPE</dc:creator>
  <cp:lastModifiedBy>IIPE</cp:lastModifiedBy>
  <dcterms:created xsi:type="dcterms:W3CDTF">2026-08-04T11:52:26Z</dcterms:created>
  <dcterms:modified xsi:type="dcterms:W3CDTF">2026-08-04T11:52:50Z</dcterms:modified>
</cp:coreProperties>
</file>