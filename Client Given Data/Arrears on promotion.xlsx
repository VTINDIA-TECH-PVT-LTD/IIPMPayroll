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PE\Desktop\"/>
    </mc:Choice>
  </mc:AlternateContent>
  <xr:revisionPtr revIDLastSave="0" documentId="8_{A703EFD0-AD94-401E-A801-FB2E8E0344B8}" xr6:coauthVersionLast="36" xr6:coauthVersionMax="36" xr10:uidLastSave="{00000000-0000-0000-0000-000000000000}"/>
  <bookViews>
    <workbookView xWindow="0" yWindow="0" windowWidth="28800" windowHeight="12225" xr2:uid="{2AEBCFAE-9846-4C02-85C4-279B1280A248}"/>
  </bookViews>
  <sheets>
    <sheet name="Arrears on promotion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G16" i="1" s="1"/>
  <c r="E15" i="1"/>
  <c r="G15" i="1" s="1"/>
  <c r="E13" i="1"/>
  <c r="G13" i="1" s="1"/>
  <c r="E12" i="1"/>
  <c r="G12" i="1" s="1"/>
  <c r="E10" i="1"/>
  <c r="G10" i="1" s="1"/>
  <c r="E9" i="1"/>
  <c r="G9" i="1" s="1"/>
  <c r="E7" i="1"/>
  <c r="G7" i="1" s="1"/>
  <c r="E6" i="1"/>
  <c r="G6" i="1" s="1"/>
  <c r="E4" i="1"/>
  <c r="G4" i="1" s="1"/>
  <c r="E3" i="1"/>
  <c r="G3" i="1" s="1"/>
  <c r="J3" i="1" l="1"/>
  <c r="M3" i="1"/>
  <c r="G17" i="1"/>
  <c r="H3" i="1"/>
  <c r="I3" i="1"/>
  <c r="J12" i="1"/>
  <c r="N12" i="1" s="1"/>
  <c r="M12" i="1"/>
  <c r="I12" i="1"/>
  <c r="K12" i="1" s="1"/>
  <c r="H12" i="1"/>
  <c r="I4" i="1"/>
  <c r="H4" i="1"/>
  <c r="M4" i="1" s="1"/>
  <c r="J4" i="1"/>
  <c r="N4" i="1" s="1"/>
  <c r="K4" i="1"/>
  <c r="I13" i="1"/>
  <c r="H13" i="1"/>
  <c r="M13" i="1" s="1"/>
  <c r="I6" i="1"/>
  <c r="K6" i="1" s="1"/>
  <c r="H6" i="1"/>
  <c r="J6" i="1"/>
  <c r="N6" i="1" s="1"/>
  <c r="M6" i="1"/>
  <c r="I15" i="1"/>
  <c r="H15" i="1"/>
  <c r="J15" i="1" s="1"/>
  <c r="N15" i="1" s="1"/>
  <c r="J7" i="1"/>
  <c r="N7" i="1" s="1"/>
  <c r="I7" i="1"/>
  <c r="K7" i="1" s="1"/>
  <c r="H7" i="1"/>
  <c r="M7" i="1"/>
  <c r="M16" i="1"/>
  <c r="J16" i="1"/>
  <c r="N16" i="1" s="1"/>
  <c r="I16" i="1"/>
  <c r="K16" i="1" s="1"/>
  <c r="H16" i="1"/>
  <c r="I9" i="1"/>
  <c r="H9" i="1"/>
  <c r="M9" i="1" s="1"/>
  <c r="J9" i="1"/>
  <c r="N9" i="1" s="1"/>
  <c r="I10" i="1"/>
  <c r="H10" i="1"/>
  <c r="J10" i="1"/>
  <c r="N10" i="1" s="1"/>
  <c r="M10" i="1"/>
  <c r="L12" i="1" l="1"/>
  <c r="O12" i="1" s="1"/>
  <c r="L7" i="1"/>
  <c r="O7" i="1"/>
  <c r="L16" i="1"/>
  <c r="O16" i="1" s="1"/>
  <c r="O6" i="1"/>
  <c r="L6" i="1"/>
  <c r="L4" i="1"/>
  <c r="O4" i="1"/>
  <c r="K9" i="1"/>
  <c r="N3" i="1"/>
  <c r="N17" i="1" s="1"/>
  <c r="J17" i="1"/>
  <c r="K10" i="1"/>
  <c r="K15" i="1"/>
  <c r="J13" i="1"/>
  <c r="N13" i="1" s="1"/>
  <c r="K3" i="1"/>
  <c r="M15" i="1"/>
  <c r="M17" i="1" s="1"/>
  <c r="K13" i="1"/>
  <c r="I17" i="1"/>
  <c r="H17" i="1"/>
  <c r="L15" i="1" l="1"/>
  <c r="O15" i="1" s="1"/>
  <c r="L3" i="1"/>
  <c r="O3" i="1"/>
  <c r="K17" i="1"/>
  <c r="L9" i="1"/>
  <c r="O9" i="1"/>
  <c r="L10" i="1"/>
  <c r="O10" i="1" s="1"/>
  <c r="L13" i="1"/>
  <c r="O13" i="1" s="1"/>
  <c r="O17" i="1" l="1"/>
  <c r="L17" i="1"/>
</calcChain>
</file>

<file path=xl/sharedStrings.xml><?xml version="1.0" encoding="utf-8"?>
<sst xmlns="http://schemas.openxmlformats.org/spreadsheetml/2006/main" count="32" uniqueCount="24">
  <si>
    <t xml:space="preserve">Arrears on account of promotion </t>
  </si>
  <si>
    <t xml:space="preserve">Name of the Faculty </t>
  </si>
  <si>
    <t xml:space="preserve">Date of promotion </t>
  </si>
  <si>
    <t xml:space="preserve">Basic Pay </t>
  </si>
  <si>
    <t xml:space="preserve">Upgraded Pay </t>
  </si>
  <si>
    <t xml:space="preserve">Difference in Pay </t>
  </si>
  <si>
    <t>No.of.Days</t>
  </si>
  <si>
    <t>Proportionate Basic</t>
  </si>
  <si>
    <t>DA</t>
  </si>
  <si>
    <t xml:space="preserve">HRA </t>
  </si>
  <si>
    <t xml:space="preserve">NPS Employer </t>
  </si>
  <si>
    <t xml:space="preserve">Gross Total </t>
  </si>
  <si>
    <t>TDS</t>
  </si>
  <si>
    <t xml:space="preserve">Less: NPS Employee share </t>
  </si>
  <si>
    <t xml:space="preserve">Less: NPS Employer share </t>
  </si>
  <si>
    <t xml:space="preserve">Net amount payable </t>
  </si>
  <si>
    <t xml:space="preserve">Dr.Geddada Nagesh </t>
  </si>
  <si>
    <t>13th February 2025</t>
  </si>
  <si>
    <t>March'25</t>
  </si>
  <si>
    <t xml:space="preserve">Dr.Ch.Gupta Chanduluri </t>
  </si>
  <si>
    <t>Dr.Dipankar pal</t>
  </si>
  <si>
    <t>Dr.Siva sankar</t>
  </si>
  <si>
    <t>Dr.Raka Monadal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</si>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</sst>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2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Tahoma"/>
      <family val="2"/>
    </font>
    <font>
      <b/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3" fontId="1" fillId="0" borderId="1" xfId="0" applyNumberFormat="1" applyFont="1" applyFill="1" applyBorder="1" applyAlignment="1">
      <alignment horizontal="center" vertical="center"/>
    </xf>
    <xf numFmtId="43" fontId="1" fillId="0" borderId="2" xfId="0" applyNumberFormat="1" applyFont="1" applyFill="1" applyBorder="1" applyAlignment="1">
      <alignment horizontal="center" vertical="center"/>
    </xf>
    <xf numFmtId="43" fontId="1" fillId="0" borderId="3" xfId="0" applyNumberFormat="1" applyFont="1" applyFill="1" applyBorder="1" applyAlignment="1">
      <alignment horizontal="center" vertical="center"/>
    </xf>
    <xf numFmtId="0" fontId="2" fillId="0" borderId="0" xfId="0" applyFont="1"/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vertical="center" wrapText="1"/>
    </xf>
    <xf numFmtId="0" fontId="3" fillId="0" borderId="0" xfId="0" applyFont="1"/>
    <xf numFmtId="0" fontId="4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ED30-9692-4FB4-8777-46741994942A}">
  <sheetPr>
    <pageSetUpPr fitToPage="1"/>
  </sheetPr>
  <dimension ref="A1:O17"/>
  <sheetViews>
    <sheetView tabSelected="1" workbookViewId="0">
      <selection activeCell="H22" sqref="H22"/>
    </sheetView>
  </sheetViews>
  <sheetFormatPr defaultRowHeight="15.75" x14ac:dyDescent="0.25"/>
  <cols>
    <col min="1" max="1" width="18.85546875" style="4" customWidth="1"/>
    <col min="2" max="2" width="20" style="19" customWidth="1"/>
    <col min="3" max="3" width="13.140625" style="4" customWidth="1"/>
    <col min="4" max="4" width="17.140625" style="4" customWidth="1"/>
    <col min="5" max="5" width="14.140625" style="4" customWidth="1"/>
    <col min="6" max="6" width="14.85546875" style="4" customWidth="1"/>
    <col min="7" max="7" width="17.28515625" style="4" customWidth="1"/>
    <col min="8" max="9" width="8.42578125" style="4" customWidth="1"/>
    <col min="10" max="10" width="13.28515625" style="4" customWidth="1"/>
    <col min="11" max="11" width="13.5703125" style="4" customWidth="1"/>
    <col min="12" max="12" width="9.140625" style="4"/>
    <col min="13" max="13" width="17.5703125" style="4" customWidth="1"/>
    <col min="14" max="14" width="15.5703125" style="4" customWidth="1"/>
    <col min="15" max="15" width="13.28515625" style="4" customWidth="1"/>
    <col min="16" max="16384" width="9.140625" style="4"/>
  </cols>
  <sheetData>
    <row r="1" spans="1:15" ht="16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s="7" customFormat="1" ht="63.75" customHeight="1" x14ac:dyDescent="0.25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31.5" customHeight="1" x14ac:dyDescent="0.25">
      <c r="A3" s="8" t="s">
        <v>16</v>
      </c>
      <c r="B3" s="9" t="s">
        <v>17</v>
      </c>
      <c r="C3" s="9">
        <v>139400</v>
      </c>
      <c r="D3" s="9">
        <v>139600</v>
      </c>
      <c r="E3" s="9">
        <f t="shared" ref="E3:E4" si="0">+D3-C3</f>
        <v>200</v>
      </c>
      <c r="F3" s="10">
        <v>16</v>
      </c>
      <c r="G3" s="9">
        <f>ROUND(E3*F3/28,0)</f>
        <v>114</v>
      </c>
      <c r="H3" s="9">
        <f t="shared" ref="H3:H4" si="1">ROUNDUP(G3*53/100,0)</f>
        <v>61</v>
      </c>
      <c r="I3" s="9">
        <f t="shared" ref="I3:I4" si="2">ROUND(G3*20/100,0)</f>
        <v>23</v>
      </c>
      <c r="J3" s="9">
        <f t="shared" ref="J3" si="3">+ROUND(SUM(G3+H3)*14/100,0)</f>
        <v>25</v>
      </c>
      <c r="K3" s="9">
        <f t="shared" ref="K3:K4" si="4">ROUND(SUM(G3:J3,),0)</f>
        <v>223</v>
      </c>
      <c r="L3" s="9">
        <f>ROUND(K3*10/100,0)</f>
        <v>22</v>
      </c>
      <c r="M3" s="9">
        <f t="shared" ref="M3:M4" si="5">+ROUNDUP(SUM(G3+H3)*10/100,0)</f>
        <v>18</v>
      </c>
      <c r="N3" s="9">
        <f t="shared" ref="N3:N4" si="6">+J3</f>
        <v>25</v>
      </c>
      <c r="O3" s="9">
        <f t="shared" ref="O3:O4" si="7">ROUND(K3-L3-M3-N3,0)</f>
        <v>158</v>
      </c>
    </row>
    <row r="4" spans="1:15" ht="35.25" customHeight="1" x14ac:dyDescent="0.25">
      <c r="A4" s="8"/>
      <c r="B4" s="9" t="s">
        <v>18</v>
      </c>
      <c r="C4" s="9">
        <v>139400</v>
      </c>
      <c r="D4" s="9">
        <v>139600</v>
      </c>
      <c r="E4" s="9">
        <f t="shared" si="0"/>
        <v>200</v>
      </c>
      <c r="F4" s="10">
        <v>31</v>
      </c>
      <c r="G4" s="9">
        <f>ROUND(E4*F4/31,0)</f>
        <v>200</v>
      </c>
      <c r="H4" s="9">
        <f t="shared" si="1"/>
        <v>106</v>
      </c>
      <c r="I4" s="9">
        <f t="shared" si="2"/>
        <v>40</v>
      </c>
      <c r="J4" s="9">
        <f t="shared" ref="J4" si="8">+ROUND(SUM(G4+H4)*14/100,0)</f>
        <v>43</v>
      </c>
      <c r="K4" s="9">
        <f t="shared" si="4"/>
        <v>389</v>
      </c>
      <c r="L4" s="9">
        <f>ROUND(K4*10/100,0)</f>
        <v>39</v>
      </c>
      <c r="M4" s="9">
        <f t="shared" si="5"/>
        <v>31</v>
      </c>
      <c r="N4" s="9">
        <f t="shared" si="6"/>
        <v>43</v>
      </c>
      <c r="O4" s="9">
        <f t="shared" si="7"/>
        <v>276</v>
      </c>
    </row>
    <row r="5" spans="1:15" x14ac:dyDescent="0.25">
      <c r="A5" s="11"/>
      <c r="B5" s="12"/>
      <c r="C5" s="12"/>
      <c r="D5" s="12"/>
      <c r="E5" s="12"/>
      <c r="F5" s="13"/>
      <c r="G5" s="12"/>
      <c r="H5" s="12"/>
      <c r="I5" s="12"/>
      <c r="J5" s="12"/>
      <c r="K5" s="12"/>
      <c r="L5" s="12"/>
      <c r="M5" s="12"/>
      <c r="N5" s="12"/>
      <c r="O5" s="12"/>
    </row>
    <row r="6" spans="1:15" ht="28.5" customHeight="1" x14ac:dyDescent="0.25">
      <c r="A6" s="14" t="s">
        <v>19</v>
      </c>
      <c r="B6" s="9" t="s">
        <v>17</v>
      </c>
      <c r="C6" s="9">
        <v>139400</v>
      </c>
      <c r="D6" s="9">
        <v>139600</v>
      </c>
      <c r="E6" s="9">
        <f t="shared" ref="E6:E7" si="9">+D6-C6</f>
        <v>200</v>
      </c>
      <c r="F6" s="10">
        <v>16</v>
      </c>
      <c r="G6" s="9">
        <f>ROUND(E6*F6/28,0)</f>
        <v>114</v>
      </c>
      <c r="H6" s="9">
        <f t="shared" ref="H6:H7" si="10">ROUNDUP(G6*53/100,0)</f>
        <v>61</v>
      </c>
      <c r="I6" s="9">
        <f t="shared" ref="I6:I7" si="11">ROUND(G6*20/100,0)</f>
        <v>23</v>
      </c>
      <c r="J6" s="9">
        <f t="shared" ref="J6:J7" si="12">+ROUND(SUM(G6+H6)*14/100,0)</f>
        <v>25</v>
      </c>
      <c r="K6" s="9">
        <f t="shared" ref="K6:K7" si="13">ROUND(SUM(G6:J6,),0)</f>
        <v>223</v>
      </c>
      <c r="L6" s="9">
        <f>ROUND(K6*10/100,0)</f>
        <v>22</v>
      </c>
      <c r="M6" s="9">
        <f t="shared" ref="M6:M7" si="14">+ROUNDUP(SUM(G6+H6)*10/100,0)</f>
        <v>18</v>
      </c>
      <c r="N6" s="9">
        <f t="shared" ref="N6:N7" si="15">+J6</f>
        <v>25</v>
      </c>
      <c r="O6" s="9">
        <f t="shared" ref="O6:O7" si="16">ROUND(K6-L6-M6-N6,0)</f>
        <v>158</v>
      </c>
    </row>
    <row r="7" spans="1:15" x14ac:dyDescent="0.25">
      <c r="A7" s="15"/>
      <c r="B7" s="9" t="s">
        <v>18</v>
      </c>
      <c r="C7" s="9">
        <v>139400</v>
      </c>
      <c r="D7" s="9">
        <v>139600</v>
      </c>
      <c r="E7" s="9">
        <f t="shared" si="9"/>
        <v>200</v>
      </c>
      <c r="F7" s="10">
        <v>28</v>
      </c>
      <c r="G7" s="9">
        <f>ROUND(E7*F7/28,0)</f>
        <v>200</v>
      </c>
      <c r="H7" s="9">
        <f t="shared" si="10"/>
        <v>106</v>
      </c>
      <c r="I7" s="9">
        <f t="shared" si="11"/>
        <v>40</v>
      </c>
      <c r="J7" s="9">
        <f t="shared" si="12"/>
        <v>43</v>
      </c>
      <c r="K7" s="9">
        <f t="shared" si="13"/>
        <v>389</v>
      </c>
      <c r="L7" s="9">
        <f>ROUND(K7*10/100,0)</f>
        <v>39</v>
      </c>
      <c r="M7" s="9">
        <f t="shared" si="14"/>
        <v>31</v>
      </c>
      <c r="N7" s="9">
        <f t="shared" si="15"/>
        <v>43</v>
      </c>
      <c r="O7" s="9">
        <f t="shared" si="16"/>
        <v>276</v>
      </c>
    </row>
    <row r="8" spans="1:15" x14ac:dyDescent="0.25">
      <c r="A8" s="16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9"/>
      <c r="O8" s="9"/>
    </row>
    <row r="9" spans="1:15" ht="38.25" customHeight="1" x14ac:dyDescent="0.25">
      <c r="A9" s="8" t="s">
        <v>20</v>
      </c>
      <c r="B9" s="9" t="s">
        <v>17</v>
      </c>
      <c r="C9" s="9">
        <v>135300</v>
      </c>
      <c r="D9" s="9">
        <v>139600</v>
      </c>
      <c r="E9" s="9">
        <f t="shared" ref="E9:E10" si="17">+D9-C9</f>
        <v>4300</v>
      </c>
      <c r="F9" s="10">
        <v>16</v>
      </c>
      <c r="G9" s="9">
        <f>ROUND(E9*F9/28,0)</f>
        <v>2457</v>
      </c>
      <c r="H9" s="9">
        <f t="shared" ref="H9:H10" si="18">ROUNDUP(G9*53/100,0)</f>
        <v>1303</v>
      </c>
      <c r="I9" s="9">
        <f t="shared" ref="I9:I10" si="19">ROUND(G9*20/100,0)</f>
        <v>491</v>
      </c>
      <c r="J9" s="9">
        <f t="shared" ref="J9:J10" si="20">+ROUND(SUM(G9+H9)*14/100,0)</f>
        <v>526</v>
      </c>
      <c r="K9" s="9">
        <f t="shared" ref="K9:K10" si="21">ROUND(SUM(G9:J9,),0)</f>
        <v>4777</v>
      </c>
      <c r="L9" s="9">
        <f>ROUND(K9*10/100,0)</f>
        <v>478</v>
      </c>
      <c r="M9" s="9">
        <f t="shared" ref="M9:M10" si="22">+ROUNDUP(SUM(G9+H9)*10/100,0)</f>
        <v>376</v>
      </c>
      <c r="N9" s="9">
        <f t="shared" ref="N9:N10" si="23">+J9</f>
        <v>526</v>
      </c>
      <c r="O9" s="9">
        <f t="shared" ref="O9:O10" si="24">ROUND(K9-L9-M9-N9,0)</f>
        <v>3397</v>
      </c>
    </row>
    <row r="10" spans="1:15" x14ac:dyDescent="0.25">
      <c r="A10" s="8"/>
      <c r="B10" s="9" t="s">
        <v>18</v>
      </c>
      <c r="C10" s="9">
        <v>135300</v>
      </c>
      <c r="D10" s="9">
        <v>139600</v>
      </c>
      <c r="E10" s="9">
        <f t="shared" si="17"/>
        <v>4300</v>
      </c>
      <c r="F10" s="10">
        <v>31</v>
      </c>
      <c r="G10" s="9">
        <f>ROUND(E10*F10/31,0)</f>
        <v>4300</v>
      </c>
      <c r="H10" s="9">
        <f t="shared" si="18"/>
        <v>2279</v>
      </c>
      <c r="I10" s="9">
        <f t="shared" si="19"/>
        <v>860</v>
      </c>
      <c r="J10" s="9">
        <f t="shared" si="20"/>
        <v>921</v>
      </c>
      <c r="K10" s="9">
        <f t="shared" si="21"/>
        <v>8360</v>
      </c>
      <c r="L10" s="9">
        <f>ROUND(K10*10/100,0)</f>
        <v>836</v>
      </c>
      <c r="M10" s="9">
        <f t="shared" si="22"/>
        <v>658</v>
      </c>
      <c r="N10" s="9">
        <f t="shared" si="23"/>
        <v>921</v>
      </c>
      <c r="O10" s="9">
        <f t="shared" si="24"/>
        <v>5945</v>
      </c>
    </row>
    <row r="11" spans="1:15" x14ac:dyDescent="0.25">
      <c r="A11" s="9"/>
      <c r="B11" s="9"/>
      <c r="C11" s="9"/>
      <c r="D11" s="9"/>
      <c r="E11" s="9"/>
      <c r="F11" s="10"/>
      <c r="G11" s="9"/>
      <c r="H11" s="9"/>
      <c r="I11" s="9"/>
      <c r="J11" s="9"/>
      <c r="K11" s="9"/>
      <c r="L11" s="9"/>
      <c r="M11" s="9"/>
      <c r="N11" s="9"/>
      <c r="O11" s="9"/>
    </row>
    <row r="12" spans="1:15" ht="37.5" customHeight="1" x14ac:dyDescent="0.25">
      <c r="A12" s="8" t="s">
        <v>21</v>
      </c>
      <c r="B12" s="9" t="s">
        <v>17</v>
      </c>
      <c r="C12" s="9">
        <v>131400</v>
      </c>
      <c r="D12" s="9">
        <v>139600</v>
      </c>
      <c r="E12" s="9">
        <f t="shared" ref="E12:E13" si="25">+D12-C12</f>
        <v>8200</v>
      </c>
      <c r="F12" s="10">
        <v>16</v>
      </c>
      <c r="G12" s="9">
        <f>ROUND(E12*F12/28,0)</f>
        <v>4686</v>
      </c>
      <c r="H12" s="9">
        <f t="shared" ref="H12:H13" si="26">ROUNDUP(G12*53/100,0)</f>
        <v>2484</v>
      </c>
      <c r="I12" s="9">
        <f t="shared" ref="I12:I13" si="27">ROUND(G12*20/100,0)</f>
        <v>937</v>
      </c>
      <c r="J12" s="9">
        <f t="shared" ref="J12:J13" si="28">+ROUND(SUM(G12+H12)*14/100,0)</f>
        <v>1004</v>
      </c>
      <c r="K12" s="9">
        <f t="shared" ref="K12:K13" si="29">ROUND(SUM(G12:J12,),0)</f>
        <v>9111</v>
      </c>
      <c r="L12" s="9">
        <f>ROUND(K12*10/100,0)</f>
        <v>911</v>
      </c>
      <c r="M12" s="9">
        <f t="shared" ref="M12:M13" si="30">+ROUNDUP(SUM(G12+H12)*10/100,0)</f>
        <v>717</v>
      </c>
      <c r="N12" s="9">
        <f t="shared" ref="N12:N13" si="31">+J12</f>
        <v>1004</v>
      </c>
      <c r="O12" s="9">
        <f t="shared" ref="O12:O13" si="32">ROUND(K12-L12-M12-N12,0)</f>
        <v>6479</v>
      </c>
    </row>
    <row r="13" spans="1:15" x14ac:dyDescent="0.25">
      <c r="A13" s="8"/>
      <c r="B13" s="9" t="s">
        <v>18</v>
      </c>
      <c r="C13" s="9">
        <v>131400</v>
      </c>
      <c r="D13" s="9">
        <v>139600</v>
      </c>
      <c r="E13" s="9">
        <f t="shared" si="25"/>
        <v>8200</v>
      </c>
      <c r="F13" s="10">
        <v>31</v>
      </c>
      <c r="G13" s="9">
        <f>ROUND(E13*F13/31,0)</f>
        <v>8200</v>
      </c>
      <c r="H13" s="9">
        <f t="shared" si="26"/>
        <v>4346</v>
      </c>
      <c r="I13" s="9">
        <f t="shared" si="27"/>
        <v>1640</v>
      </c>
      <c r="J13" s="9">
        <f t="shared" si="28"/>
        <v>1756</v>
      </c>
      <c r="K13" s="9">
        <f t="shared" si="29"/>
        <v>15942</v>
      </c>
      <c r="L13" s="9">
        <f>ROUND(K13*10/100,0)</f>
        <v>1594</v>
      </c>
      <c r="M13" s="9">
        <f t="shared" si="30"/>
        <v>1255</v>
      </c>
      <c r="N13" s="9">
        <f t="shared" si="31"/>
        <v>1756</v>
      </c>
      <c r="O13" s="9">
        <f t="shared" si="32"/>
        <v>11337</v>
      </c>
    </row>
    <row r="14" spans="1:15" x14ac:dyDescent="0.25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</row>
    <row r="15" spans="1:15" ht="37.5" customHeight="1" x14ac:dyDescent="0.25">
      <c r="A15" s="8" t="s">
        <v>22</v>
      </c>
      <c r="B15" s="9" t="s">
        <v>17</v>
      </c>
      <c r="C15" s="9">
        <v>131400</v>
      </c>
      <c r="D15" s="9">
        <v>139600</v>
      </c>
      <c r="E15" s="9">
        <f t="shared" ref="E15:E16" si="33">+D15-C15</f>
        <v>8200</v>
      </c>
      <c r="F15" s="10">
        <v>16</v>
      </c>
      <c r="G15" s="9">
        <f>ROUND(E15*F15/28,0)</f>
        <v>4686</v>
      </c>
      <c r="H15" s="9">
        <f t="shared" ref="H15:H16" si="34">ROUNDUP(G15*53/100,0)</f>
        <v>2484</v>
      </c>
      <c r="I15" s="9">
        <f t="shared" ref="I15:I16" si="35">ROUND(G15*20/100,0)</f>
        <v>937</v>
      </c>
      <c r="J15" s="9">
        <f t="shared" ref="J15:J16" si="36">+ROUND(SUM(G15+H15)*14/100,0)</f>
        <v>1004</v>
      </c>
      <c r="K15" s="9">
        <f t="shared" ref="K15:K16" si="37">ROUND(SUM(G15:J15,),0)</f>
        <v>9111</v>
      </c>
      <c r="L15" s="9">
        <f>ROUND(K15*10/100,0)</f>
        <v>911</v>
      </c>
      <c r="M15" s="9">
        <f t="shared" ref="M15:M16" si="38">+ROUNDUP(SUM(G15+H15)*10/100,0)</f>
        <v>717</v>
      </c>
      <c r="N15" s="9">
        <f t="shared" ref="N15:N16" si="39">+J15</f>
        <v>1004</v>
      </c>
      <c r="O15" s="9">
        <f t="shared" ref="O15:O16" si="40">ROUND(K15-L15-M15-N15,0)</f>
        <v>6479</v>
      </c>
    </row>
    <row r="16" spans="1:15" x14ac:dyDescent="0.25">
      <c r="A16" s="8"/>
      <c r="B16" s="9" t="s">
        <v>18</v>
      </c>
      <c r="C16" s="9">
        <v>131400</v>
      </c>
      <c r="D16" s="9">
        <v>139600</v>
      </c>
      <c r="E16" s="9">
        <f t="shared" si="33"/>
        <v>8200</v>
      </c>
      <c r="F16" s="10">
        <v>31</v>
      </c>
      <c r="G16" s="9">
        <f>ROUND(E16*F16/31,0)</f>
        <v>8200</v>
      </c>
      <c r="H16" s="9">
        <f t="shared" si="34"/>
        <v>4346</v>
      </c>
      <c r="I16" s="9">
        <f t="shared" si="35"/>
        <v>1640</v>
      </c>
      <c r="J16" s="9">
        <f t="shared" si="36"/>
        <v>1756</v>
      </c>
      <c r="K16" s="9">
        <f t="shared" si="37"/>
        <v>15942</v>
      </c>
      <c r="L16" s="9">
        <f>ROUND(K16*10/100,0)</f>
        <v>1594</v>
      </c>
      <c r="M16" s="9">
        <f t="shared" si="38"/>
        <v>1255</v>
      </c>
      <c r="N16" s="9">
        <f t="shared" si="39"/>
        <v>1756</v>
      </c>
      <c r="O16" s="9">
        <f t="shared" si="40"/>
        <v>11337</v>
      </c>
    </row>
    <row r="17" spans="1:15" x14ac:dyDescent="0.25">
      <c r="A17" s="17" t="s">
        <v>23</v>
      </c>
      <c r="B17" s="17"/>
      <c r="C17" s="17"/>
      <c r="D17" s="17"/>
      <c r="E17" s="17"/>
      <c r="F17" s="17"/>
      <c r="G17" s="18">
        <f>+SUM(G3:G16)</f>
        <v>33157</v>
      </c>
      <c r="H17" s="18">
        <f t="shared" ref="H17:O17" si="41">+SUM(H3:H16)</f>
        <v>17576</v>
      </c>
      <c r="I17" s="18">
        <f t="shared" si="41"/>
        <v>6631</v>
      </c>
      <c r="J17" s="18">
        <f t="shared" si="41"/>
        <v>7103</v>
      </c>
      <c r="K17" s="18">
        <f t="shared" si="41"/>
        <v>64467</v>
      </c>
      <c r="L17" s="18">
        <f t="shared" si="41"/>
        <v>6446</v>
      </c>
      <c r="M17" s="18">
        <f t="shared" si="41"/>
        <v>5076</v>
      </c>
      <c r="N17" s="18">
        <f t="shared" si="41"/>
        <v>7103</v>
      </c>
      <c r="O17" s="18">
        <f t="shared" si="41"/>
        <v>45842</v>
      </c>
    </row>
  </sheetData>
  <mergeCells count="7">
    <mergeCell ref="A17:F17"/>
    <mergeCell ref="A1:O1"/>
    <mergeCell ref="A3:A4"/>
    <mergeCell ref="A6:A7"/>
    <mergeCell ref="A9:A10"/>
    <mergeCell ref="A12:A13"/>
    <mergeCell ref="A15:A16"/>
  </mergeCells>
  <conditionalFormatting sqref="A1">
    <cfRule type="duplicateValues" dxfId="1" priority="1"/>
  </conditionalFormatting>
  <conditionalFormatting sqref="A2 G2:O2 C2:E2">
    <cfRule type="duplicateValues" dxfId="0" priority="2"/>
  </conditionalFormatting>
  <pageMargins left="0.7" right="0.7" top="0.75" bottom="0.75" header="0.3" footer="0.3"/>
  <pageSetup paperSize="9" scale="6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Arrears on promotion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IIPE</dc:creator>
  <cp:lastModifiedBy>IIPE</cp:lastModifiedBy>
  <dcterms:created xsi:type="dcterms:W3CDTF">2026-08-04T10:42:37Z</dcterms:created>
  <dcterms:modified xsi:type="dcterms:W3CDTF">2026-08-04T10:42:56Z</dcterms:modified>
</cp:coreProperties>
</file>