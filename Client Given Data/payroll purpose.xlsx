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ccountant\EMPLOYEES\SALARIES\2026-27\July'26\"/>
    </mc:Choice>
  </mc:AlternateContent>
  <xr:revisionPtr revIDLastSave="0" documentId="13_ncr:1_{26C29590-417B-4709-BE66-5C989D7D6E69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Faculty " sheetId="6" r:id="rId1"/>
    <sheet name="Non teaching Staff" sheetId="8" r:id="rId2"/>
  </sheets>
  <definedNames>
    <definedName name="_xlnm.Print_Area" localSheetId="0">'Faculty '!$B$1:$Q$38</definedName>
    <definedName name="_xlnm.Print_Area" localSheetId="1">'Non teaching Staff'!$A$1:$P$26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8" l="1"/>
  <c r="E8" i="8" l="1"/>
  <c r="C8" i="8"/>
  <c r="E12" i="8" l="1"/>
  <c r="N6" i="8"/>
  <c r="F9" i="8"/>
  <c r="E9" i="8"/>
  <c r="D9" i="8"/>
  <c r="K9" i="8" s="1"/>
  <c r="F8" i="8"/>
  <c r="D8" i="8"/>
  <c r="K8" i="8" s="1"/>
  <c r="F7" i="8"/>
  <c r="D7" i="8"/>
  <c r="G9" i="8" l="1"/>
  <c r="L9" i="8" s="1"/>
  <c r="O9" i="8" s="1"/>
  <c r="G8" i="8"/>
  <c r="L8" i="8" s="1"/>
  <c r="O8" i="8" s="1"/>
  <c r="C26" i="8"/>
  <c r="E14" i="8"/>
  <c r="E13" i="8"/>
  <c r="F14" i="8"/>
  <c r="D14" i="8"/>
  <c r="K14" i="8" s="1"/>
  <c r="H9" i="8" l="1"/>
  <c r="P9" i="8" s="1"/>
  <c r="H8" i="8"/>
  <c r="P8" i="8" s="1"/>
  <c r="G14" i="8"/>
  <c r="L14" i="8" s="1"/>
  <c r="O14" i="8" s="1"/>
  <c r="H14" i="8" l="1"/>
  <c r="P14" i="8"/>
  <c r="F13" i="8" l="1"/>
  <c r="D13" i="8"/>
  <c r="K13" i="8" s="1"/>
  <c r="G13" i="8" l="1"/>
  <c r="L13" i="8" l="1"/>
  <c r="O13" i="8" s="1"/>
  <c r="H13" i="8"/>
  <c r="E25" i="8"/>
  <c r="E24" i="8"/>
  <c r="E23" i="8"/>
  <c r="E22" i="8"/>
  <c r="E21" i="8"/>
  <c r="E20" i="8"/>
  <c r="E19" i="8"/>
  <c r="E18" i="8"/>
  <c r="E17" i="8"/>
  <c r="E16" i="8"/>
  <c r="E15" i="8"/>
  <c r="E11" i="8"/>
  <c r="E10" i="8"/>
  <c r="E7" i="8"/>
  <c r="E6" i="8"/>
  <c r="D25" i="8"/>
  <c r="D24" i="8"/>
  <c r="D23" i="8"/>
  <c r="D22" i="8"/>
  <c r="D21" i="8"/>
  <c r="D20" i="8"/>
  <c r="D19" i="8"/>
  <c r="D18" i="8"/>
  <c r="D17" i="8"/>
  <c r="G17" i="8" s="1"/>
  <c r="D16" i="8"/>
  <c r="D15" i="8"/>
  <c r="D12" i="8"/>
  <c r="D11" i="8"/>
  <c r="D10" i="8"/>
  <c r="D6" i="8"/>
  <c r="D5" i="8"/>
  <c r="D36" i="6"/>
  <c r="D34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E37" i="6"/>
  <c r="E36" i="6"/>
  <c r="E35" i="6"/>
  <c r="E34" i="6"/>
  <c r="E33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P13" i="8" l="1"/>
  <c r="L24" i="6"/>
  <c r="F24" i="6"/>
  <c r="L23" i="6"/>
  <c r="H23" i="6"/>
  <c r="M23" i="6" s="1"/>
  <c r="F23" i="6"/>
  <c r="I23" i="6" l="1"/>
  <c r="P23" i="6"/>
  <c r="H24" i="6"/>
  <c r="M24" i="6" s="1"/>
  <c r="P24" i="6" s="1"/>
  <c r="Q23" i="6" l="1"/>
  <c r="I24" i="6"/>
  <c r="Q24" i="6" s="1"/>
  <c r="G20" i="8" l="1"/>
  <c r="L20" i="8" s="1"/>
  <c r="F20" i="8"/>
  <c r="K20" i="8"/>
  <c r="O20" i="8" l="1"/>
  <c r="H20" i="8"/>
  <c r="P20" i="8" l="1"/>
  <c r="O38" i="6" l="1"/>
  <c r="C35" i="6" l="1"/>
  <c r="D35" i="6" s="1"/>
  <c r="C37" i="6"/>
  <c r="D37" i="6" s="1"/>
  <c r="H4" i="6"/>
  <c r="H5" i="6"/>
  <c r="H6" i="6"/>
  <c r="L7" i="6"/>
  <c r="L8" i="6"/>
  <c r="H9" i="6"/>
  <c r="L10" i="6"/>
  <c r="L11" i="6"/>
  <c r="L12" i="6"/>
  <c r="L13" i="6"/>
  <c r="L14" i="6"/>
  <c r="L15" i="6"/>
  <c r="L16" i="6"/>
  <c r="H17" i="6"/>
  <c r="L18" i="6"/>
  <c r="H19" i="6"/>
  <c r="L20" i="6"/>
  <c r="H21" i="6"/>
  <c r="H22" i="6"/>
  <c r="L25" i="6"/>
  <c r="L26" i="6"/>
  <c r="L27" i="6"/>
  <c r="H28" i="6"/>
  <c r="L29" i="6"/>
  <c r="L30" i="6"/>
  <c r="H31" i="6"/>
  <c r="L32" i="6"/>
  <c r="L34" i="6"/>
  <c r="H36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5" i="6"/>
  <c r="F26" i="6"/>
  <c r="F27" i="6"/>
  <c r="F28" i="6"/>
  <c r="F29" i="6"/>
  <c r="F30" i="6"/>
  <c r="F31" i="6"/>
  <c r="F32" i="6"/>
  <c r="F34" i="6"/>
  <c r="F36" i="6"/>
  <c r="G38" i="6"/>
  <c r="H10" i="6"/>
  <c r="J38" i="6"/>
  <c r="K38" i="6"/>
  <c r="F33" i="6" l="1"/>
  <c r="D33" i="6"/>
  <c r="H33" i="6" s="1"/>
  <c r="L31" i="6"/>
  <c r="H11" i="6"/>
  <c r="I11" i="6" s="1"/>
  <c r="L36" i="6"/>
  <c r="L6" i="6"/>
  <c r="L5" i="6"/>
  <c r="L22" i="6"/>
  <c r="L4" i="6"/>
  <c r="L21" i="6"/>
  <c r="H16" i="6"/>
  <c r="I16" i="6" s="1"/>
  <c r="H29" i="6"/>
  <c r="I29" i="6" s="1"/>
  <c r="H18" i="6"/>
  <c r="I18" i="6" s="1"/>
  <c r="H26" i="6"/>
  <c r="I26" i="6" s="1"/>
  <c r="H13" i="6"/>
  <c r="I13" i="6" s="1"/>
  <c r="L17" i="6"/>
  <c r="H25" i="6"/>
  <c r="I25" i="6" s="1"/>
  <c r="H12" i="6"/>
  <c r="I12" i="6" s="1"/>
  <c r="C38" i="6"/>
  <c r="F35" i="6"/>
  <c r="H37" i="6"/>
  <c r="L37" i="6"/>
  <c r="I9" i="6"/>
  <c r="L9" i="6"/>
  <c r="H34" i="6"/>
  <c r="I34" i="6" s="1"/>
  <c r="F37" i="6"/>
  <c r="I21" i="6"/>
  <c r="L35" i="6"/>
  <c r="H35" i="6"/>
  <c r="L28" i="6"/>
  <c r="L19" i="6"/>
  <c r="H32" i="6"/>
  <c r="I32" i="6" s="1"/>
  <c r="I10" i="6"/>
  <c r="H30" i="6"/>
  <c r="I30" i="6" s="1"/>
  <c r="I22" i="6"/>
  <c r="H15" i="6"/>
  <c r="I15" i="6" s="1"/>
  <c r="H7" i="6"/>
  <c r="I4" i="6"/>
  <c r="I28" i="6"/>
  <c r="H27" i="6"/>
  <c r="I27" i="6" s="1"/>
  <c r="H20" i="6"/>
  <c r="I20" i="6" s="1"/>
  <c r="H14" i="6"/>
  <c r="I14" i="6" s="1"/>
  <c r="H8" i="6"/>
  <c r="I8" i="6" s="1"/>
  <c r="E38" i="6"/>
  <c r="I19" i="6"/>
  <c r="I36" i="6"/>
  <c r="I31" i="6"/>
  <c r="I6" i="6"/>
  <c r="I17" i="6"/>
  <c r="I5" i="6"/>
  <c r="I35" i="6" l="1"/>
  <c r="L33" i="6"/>
  <c r="L38" i="6" s="1"/>
  <c r="D38" i="6"/>
  <c r="I33" i="6"/>
  <c r="I37" i="6"/>
  <c r="F38" i="6"/>
  <c r="I7" i="6"/>
  <c r="H38" i="6" l="1"/>
  <c r="I38" i="6"/>
  <c r="K7" i="8" l="1"/>
  <c r="G7" i="8" l="1"/>
  <c r="L7" i="8" l="1"/>
  <c r="O7" i="8" s="1"/>
  <c r="H7" i="8"/>
  <c r="P7" i="8" l="1"/>
  <c r="N38" i="6" l="1"/>
  <c r="M22" i="6"/>
  <c r="P22" i="6" l="1"/>
  <c r="M37" i="6"/>
  <c r="P37" i="6" l="1"/>
  <c r="Q37" i="6" s="1"/>
  <c r="Q22" i="6"/>
  <c r="M36" i="6" l="1"/>
  <c r="P36" i="6" l="1"/>
  <c r="Q36" i="6" l="1"/>
  <c r="M33" i="6" l="1"/>
  <c r="P33" i="6" l="1"/>
  <c r="Q33" i="6" s="1"/>
  <c r="N26" i="8" l="1"/>
  <c r="M26" i="8"/>
  <c r="J26" i="8"/>
  <c r="F17" i="8" l="1"/>
  <c r="M35" i="6" l="1"/>
  <c r="P35" i="6" s="1"/>
  <c r="Q35" i="6" l="1"/>
  <c r="E26" i="8" l="1"/>
  <c r="D26" i="8" l="1"/>
  <c r="F11" i="8" l="1"/>
  <c r="K11" i="8" l="1"/>
  <c r="K17" i="8"/>
  <c r="G11" i="8" l="1"/>
  <c r="L11" i="8" s="1"/>
  <c r="O11" i="8" s="1"/>
  <c r="H11" i="8" l="1"/>
  <c r="P11" i="8" s="1"/>
  <c r="L17" i="8"/>
  <c r="O17" i="8" s="1"/>
  <c r="H17" i="8"/>
  <c r="P17" i="8" l="1"/>
  <c r="M15" i="6" l="1"/>
  <c r="M11" i="6"/>
  <c r="M21" i="6"/>
  <c r="M16" i="6"/>
  <c r="M9" i="6"/>
  <c r="P9" i="6" s="1"/>
  <c r="F10" i="8"/>
  <c r="F23" i="8"/>
  <c r="F22" i="8"/>
  <c r="F21" i="8"/>
  <c r="F19" i="8"/>
  <c r="F18" i="8"/>
  <c r="F25" i="8"/>
  <c r="F24" i="8"/>
  <c r="F16" i="8"/>
  <c r="F15" i="8"/>
  <c r="F12" i="8"/>
  <c r="F6" i="8"/>
  <c r="F26" i="8" l="1"/>
  <c r="M17" i="6"/>
  <c r="P21" i="6"/>
  <c r="P16" i="6"/>
  <c r="P11" i="6"/>
  <c r="M7" i="6"/>
  <c r="P7" i="6" s="1"/>
  <c r="P15" i="6"/>
  <c r="M8" i="6"/>
  <c r="P8" i="6" s="1"/>
  <c r="Q9" i="6"/>
  <c r="P17" i="6" l="1"/>
  <c r="Q17" i="6" s="1"/>
  <c r="M10" i="6"/>
  <c r="P10" i="6" s="1"/>
  <c r="Q10" i="6" s="1"/>
  <c r="Q11" i="6"/>
  <c r="Q16" i="6"/>
  <c r="Q21" i="6"/>
  <c r="Q15" i="6"/>
  <c r="Q7" i="6"/>
  <c r="Q8" i="6"/>
  <c r="G6" i="8"/>
  <c r="K16" i="8" l="1"/>
  <c r="G16" i="8"/>
  <c r="M27" i="6" l="1"/>
  <c r="M12" i="6"/>
  <c r="M31" i="6"/>
  <c r="M29" i="6"/>
  <c r="M34" i="6"/>
  <c r="M30" i="6"/>
  <c r="M25" i="6"/>
  <c r="M32" i="6"/>
  <c r="M28" i="6"/>
  <c r="M26" i="6"/>
  <c r="M20" i="6"/>
  <c r="M18" i="6"/>
  <c r="M13" i="6"/>
  <c r="M4" i="6" l="1"/>
  <c r="P4" i="6" s="1"/>
  <c r="P32" i="6"/>
  <c r="P30" i="6"/>
  <c r="M5" i="6"/>
  <c r="P5" i="6" s="1"/>
  <c r="Q5" i="6" s="1"/>
  <c r="P12" i="6"/>
  <c r="P34" i="6"/>
  <c r="P20" i="6"/>
  <c r="P28" i="6"/>
  <c r="P25" i="6"/>
  <c r="M14" i="6"/>
  <c r="P14" i="6" s="1"/>
  <c r="P31" i="6"/>
  <c r="M6" i="6"/>
  <c r="P18" i="6"/>
  <c r="M19" i="6"/>
  <c r="P19" i="6" s="1"/>
  <c r="P27" i="6"/>
  <c r="P26" i="6"/>
  <c r="P13" i="6"/>
  <c r="P29" i="6"/>
  <c r="M38" i="6" l="1"/>
  <c r="Q32" i="6"/>
  <c r="Q30" i="6"/>
  <c r="Q12" i="6"/>
  <c r="Q28" i="6"/>
  <c r="Q20" i="6"/>
  <c r="Q25" i="6"/>
  <c r="Q34" i="6"/>
  <c r="P6" i="6"/>
  <c r="P38" i="6" s="1"/>
  <c r="Q4" i="6"/>
  <c r="Q13" i="6"/>
  <c r="Q31" i="6"/>
  <c r="Q14" i="6"/>
  <c r="Q18" i="6"/>
  <c r="Q26" i="6"/>
  <c r="Q19" i="6"/>
  <c r="Q27" i="6"/>
  <c r="Q29" i="6"/>
  <c r="S35" i="6" l="1"/>
  <c r="Q6" i="6"/>
  <c r="Q38" i="6" l="1"/>
  <c r="K10" i="8"/>
  <c r="G10" i="8"/>
  <c r="K15" i="8"/>
  <c r="G15" i="8"/>
  <c r="K19" i="8"/>
  <c r="G19" i="8"/>
  <c r="K24" i="8"/>
  <c r="G24" i="8"/>
  <c r="K25" i="8"/>
  <c r="G25" i="8"/>
  <c r="K23" i="8"/>
  <c r="G23" i="8"/>
  <c r="K21" i="8"/>
  <c r="G21" i="8"/>
  <c r="K6" i="8"/>
  <c r="K22" i="8"/>
  <c r="G22" i="8"/>
  <c r="K12" i="8"/>
  <c r="G12" i="8"/>
  <c r="K18" i="8"/>
  <c r="G18" i="8"/>
  <c r="K5" i="8"/>
  <c r="G5" i="8"/>
  <c r="K26" i="8" l="1"/>
  <c r="G26" i="8"/>
  <c r="L10" i="8"/>
  <c r="L5" i="8" l="1"/>
  <c r="L25" i="8"/>
  <c r="L19" i="8"/>
  <c r="L22" i="8"/>
  <c r="L6" i="8"/>
  <c r="L15" i="8"/>
  <c r="L24" i="8"/>
  <c r="L18" i="8"/>
  <c r="L21" i="8"/>
  <c r="L23" i="8"/>
  <c r="L12" i="8"/>
  <c r="L16" i="8"/>
  <c r="L26" i="8" l="1"/>
  <c r="K27" i="8" s="1"/>
  <c r="H15" i="8"/>
  <c r="O24" i="8"/>
  <c r="H5" i="8"/>
  <c r="H24" i="8"/>
  <c r="O15" i="8"/>
  <c r="P15" i="8" l="1"/>
  <c r="O5" i="8" l="1"/>
  <c r="H6" i="8"/>
  <c r="P5" i="8" l="1"/>
  <c r="O6" i="8"/>
  <c r="P6" i="8" s="1"/>
  <c r="O10" i="8" l="1"/>
  <c r="O23" i="8"/>
  <c r="H23" i="8"/>
  <c r="O22" i="8"/>
  <c r="H22" i="8"/>
  <c r="H21" i="8"/>
  <c r="P23" i="8" l="1"/>
  <c r="P22" i="8"/>
  <c r="H10" i="8"/>
  <c r="P10" i="8" s="1"/>
  <c r="O21" i="8"/>
  <c r="P21" i="8" s="1"/>
  <c r="H19" i="8" l="1"/>
  <c r="O18" i="8"/>
  <c r="H18" i="8"/>
  <c r="P18" i="8" l="1"/>
  <c r="O19" i="8"/>
  <c r="P19" i="8" s="1"/>
  <c r="H25" i="8"/>
  <c r="O25" i="8"/>
  <c r="P24" i="8"/>
  <c r="P25" i="8" l="1"/>
  <c r="H16" i="8" l="1"/>
  <c r="H12" i="8"/>
  <c r="H26" i="8" l="1"/>
  <c r="O16" i="8"/>
  <c r="P16" i="8" s="1"/>
  <c r="O12" i="8"/>
  <c r="P12" i="8" l="1"/>
  <c r="O26" i="8"/>
  <c r="P26" i="8" l="1"/>
</calcChain>
</file>

<file path=xl/sharedStrings.xml><?xml version="1.0" encoding="utf-8"?>
<sst xmlns="http://schemas.openxmlformats.org/spreadsheetml/2006/main" count="111" uniqueCount="54">
  <si>
    <t>Designation</t>
  </si>
  <si>
    <t>Pay Scale</t>
  </si>
  <si>
    <t>Basic</t>
  </si>
  <si>
    <t>TA</t>
  </si>
  <si>
    <t>Gross 
Salary</t>
  </si>
  <si>
    <t>PT</t>
  </si>
  <si>
    <t>TDS</t>
  </si>
  <si>
    <t>Other Recovery</t>
  </si>
  <si>
    <t>Total Deductions</t>
  </si>
  <si>
    <t>Net Salary</t>
  </si>
  <si>
    <t>Level-7</t>
  </si>
  <si>
    <t>Level-5</t>
  </si>
  <si>
    <t>Level-6</t>
  </si>
  <si>
    <t>Total</t>
  </si>
  <si>
    <t>Gross salary</t>
  </si>
  <si>
    <t xml:space="preserve">Net Salary </t>
  </si>
  <si>
    <t>Other deductions</t>
  </si>
  <si>
    <t>Dean / Warden Allowance</t>
  </si>
  <si>
    <t>CGHS Contribution</t>
  </si>
  <si>
    <t>Level-14</t>
  </si>
  <si>
    <t>Level-3</t>
  </si>
  <si>
    <t xml:space="preserve">Pay level </t>
  </si>
  <si>
    <t>Level-10</t>
  </si>
  <si>
    <t xml:space="preserve">Junior Assistant </t>
  </si>
  <si>
    <t>Registrar</t>
  </si>
  <si>
    <t>Assistant Engineer</t>
  </si>
  <si>
    <t>Junior Technical Officer</t>
  </si>
  <si>
    <t xml:space="preserve">NPS Employee share </t>
  </si>
  <si>
    <t>NPS Employer share</t>
  </si>
  <si>
    <t>NPS Employer Share</t>
  </si>
  <si>
    <t xml:space="preserve">NPS Employer share </t>
  </si>
  <si>
    <t>HRA 20 %</t>
  </si>
  <si>
    <t>Assistant Registrar</t>
  </si>
  <si>
    <t>Joint Registrar</t>
  </si>
  <si>
    <t>Level-13</t>
  </si>
  <si>
    <t xml:space="preserve">Junior Superintendent </t>
  </si>
  <si>
    <t>Senior Lab.Asst</t>
  </si>
  <si>
    <t xml:space="preserve">Senior Assistant </t>
  </si>
  <si>
    <t>APL 13A2</t>
  </si>
  <si>
    <t>APL 12</t>
  </si>
  <si>
    <t>APL 14A</t>
  </si>
  <si>
    <t>APL 11</t>
  </si>
  <si>
    <t>Sl.no</t>
  </si>
  <si>
    <t xml:space="preserve">Superintendent Engineer </t>
  </si>
  <si>
    <t>APL12</t>
  </si>
  <si>
    <t>APL 13A</t>
  </si>
  <si>
    <t>TA( Rs.3600+ * DA@60%)</t>
  </si>
  <si>
    <t>DA 60%</t>
  </si>
  <si>
    <t>APL 13A1</t>
  </si>
  <si>
    <t xml:space="preserve">                                                         Salary Statement of Faculty for the month of July'26</t>
  </si>
  <si>
    <t>Deputy Registrar (F&amp;A)</t>
  </si>
  <si>
    <t>Level-12 ( Joined on 29.06.2026)</t>
  </si>
  <si>
    <t xml:space="preserve">                                                            INDIAN INSTITUTE OF PETROLEUM AND ENERGY </t>
  </si>
  <si>
    <t xml:space="preserve">                                                  INDIAN INSTITUTE OF PETROLEUM AND ENERGY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</si>
</sst>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1"/>
      <color theme="1"/>
      <name val="Calibri"/>
      <family val="2"/>
      <scheme val="minor"/>
    </font>
    <font>
      <b/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0" fontId="8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77">
    <xf numFmtId="0" fontId="0" fillId="0" borderId="0" xfId="0"/>
    <xf numFmtId="0" fontId="4" fillId="0" borderId="0" xfId="0" applyFont="1" applyFill="1" applyAlignment="1">
      <alignment vertical="center"/>
    </xf>
    <xf numFmtId="165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Border="1"/>
    <xf numFmtId="0" fontId="6" fillId="0" borderId="0" xfId="0" applyFont="1" applyFill="1" applyAlignment="1"/>
    <xf numFmtId="0" fontId="6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vertical="center" wrapText="1"/>
    </xf>
    <xf numFmtId="165" fontId="6" fillId="0" borderId="1" xfId="1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165" fontId="6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17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left" vertical="center" wrapText="1"/>
    </xf>
    <xf numFmtId="165" fontId="5" fillId="0" borderId="18" xfId="0" applyNumberFormat="1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 wrapText="1"/>
    </xf>
    <xf numFmtId="165" fontId="5" fillId="0" borderId="18" xfId="1" applyNumberFormat="1" applyFont="1" applyFill="1" applyBorder="1" applyAlignment="1">
      <alignment horizontal="center" vertical="center"/>
    </xf>
    <xf numFmtId="165" fontId="5" fillId="0" borderId="19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165" fontId="5" fillId="0" borderId="22" xfId="1" applyNumberFormat="1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/>
    </xf>
    <xf numFmtId="165" fontId="5" fillId="0" borderId="23" xfId="1" applyNumberFormat="1" applyFont="1" applyFill="1" applyBorder="1" applyAlignment="1">
      <alignment vertical="center"/>
    </xf>
    <xf numFmtId="165" fontId="6" fillId="0" borderId="0" xfId="0" applyNumberFormat="1" applyFont="1" applyFill="1" applyAlignment="1"/>
    <xf numFmtId="166" fontId="6" fillId="0" borderId="1" xfId="1" applyNumberFormat="1" applyFont="1" applyFill="1" applyBorder="1" applyAlignment="1">
      <alignment horizontal="right" vertical="center"/>
    </xf>
    <xf numFmtId="166" fontId="6" fillId="0" borderId="7" xfId="1" applyNumberFormat="1" applyFont="1" applyFill="1" applyBorder="1" applyAlignment="1">
      <alignment horizontal="right" vertical="center"/>
    </xf>
    <xf numFmtId="0" fontId="5" fillId="0" borderId="2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166" fontId="6" fillId="0" borderId="1" xfId="1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vertical="center" wrapText="1"/>
    </xf>
    <xf numFmtId="166" fontId="6" fillId="0" borderId="1" xfId="1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/>
    </xf>
    <xf numFmtId="166" fontId="6" fillId="0" borderId="7" xfId="1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165" fontId="6" fillId="0" borderId="0" xfId="0" applyNumberFormat="1" applyFont="1" applyFill="1" applyBorder="1" applyAlignment="1"/>
    <xf numFmtId="0" fontId="6" fillId="0" borderId="3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6" fillId="0" borderId="1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3" xfId="1" applyNumberFormat="1" applyFont="1" applyFill="1" applyBorder="1" applyAlignment="1">
      <alignment horizontal="right" vertical="center"/>
    </xf>
    <xf numFmtId="165" fontId="6" fillId="0" borderId="16" xfId="1" applyNumberFormat="1" applyFont="1" applyFill="1" applyBorder="1" applyAlignment="1">
      <alignment horizontal="right" vertical="center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7" xfId="1" applyNumberFormat="1" applyFont="1" applyFill="1" applyBorder="1" applyAlignment="1">
      <alignment horizontal="right" vertical="center"/>
    </xf>
    <xf numFmtId="165" fontId="6" fillId="0" borderId="2" xfId="1" applyNumberFormat="1" applyFont="1" applyFill="1" applyBorder="1" applyAlignment="1">
      <alignment horizontal="center" vertical="center"/>
    </xf>
    <xf numFmtId="165" fontId="6" fillId="0" borderId="2" xfId="1" applyNumberFormat="1" applyFont="1" applyFill="1" applyBorder="1" applyAlignment="1">
      <alignment horizontal="right" vertical="center"/>
    </xf>
    <xf numFmtId="165" fontId="6" fillId="0" borderId="13" xfId="1" applyNumberFormat="1" applyFont="1" applyFill="1" applyBorder="1" applyAlignment="1">
      <alignment horizontal="right" vertical="center"/>
    </xf>
    <xf numFmtId="165" fontId="6" fillId="0" borderId="8" xfId="1" applyNumberFormat="1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43" fontId="5" fillId="0" borderId="10" xfId="0" applyNumberFormat="1" applyFont="1" applyFill="1" applyBorder="1" applyAlignment="1">
      <alignment horizontal="center" vertical="center"/>
    </xf>
    <xf numFmtId="43" fontId="5" fillId="0" borderId="25" xfId="0" applyNumberFormat="1" applyFont="1" applyFill="1" applyBorder="1" applyAlignment="1">
      <alignment horizontal="center" vertical="center"/>
    </xf>
    <xf numFmtId="0" fontId="5" fillId="0" borderId="0" xfId="0" applyFont="1" applyFill="1" applyAlignment="1"/>
    <xf numFmtId="43" fontId="5" fillId="0" borderId="9" xfId="0" applyNumberFormat="1" applyFont="1" applyFill="1" applyBorder="1" applyAlignment="1">
      <alignment vertical="center" wrapText="1"/>
    </xf>
    <xf numFmtId="43" fontId="5" fillId="0" borderId="14" xfId="0" applyNumberFormat="1" applyFont="1" applyFill="1" applyBorder="1" applyAlignment="1">
      <alignment vertical="center" wrapText="1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</cellXfs>
  <cellStyles count="8">
    <cellStyle name="Comma" xfId="1" builtinId="3"/>
    <cellStyle name="Comma 2" xfId="5" xr:uid="{AADB93D9-C597-414E-BD37-1E4C3B52FAA6}"/>
    <cellStyle name="Normal" xfId="0" builtinId="0"/>
    <cellStyle name="Normal 2" xfId="2" xr:uid="{00000000-0005-0000-0000-000002000000}"/>
    <cellStyle name="Normal 2 2" xfId="6" xr:uid="{45CCFE64-EFF1-4DC4-8A99-CDB9B02CBE9E}"/>
    <cellStyle name="Normal 3" xfId="3" xr:uid="{00000000-0005-0000-0000-000003000000}"/>
    <cellStyle name="Normal 3 2" xfId="7" xr:uid="{00000000-0005-0000-0000-000003000000}"/>
    <cellStyle name="Normal 4" xfId="4" xr:uid="{0F6905F7-D7CA-4C5C-9E96-058B61D62A5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S41"/>
  <sheetViews>
    <sheetView topLeftCell="A7" zoomScale="70" zoomScaleNormal="70" workbookViewId="0">
      <pane xSplit="1" topLeftCell="B1" activePane="topRight" state="frozen"/>
      <selection activeCell="A24" sqref="A23:XFD24"/>
      <selection pane="topRight" activeCell="F50" sqref="F50"/>
    </sheetView>
  </sheetViews>
  <sheetFormatPr defaultColWidth="28.42578125" defaultRowHeight="14.25" x14ac:dyDescent="0.25"/>
  <cols>
    <col min="1" max="1" width="14.28515625" style="1" customWidth="1"/>
    <col min="2" max="2" width="12.7109375" style="1" customWidth="1"/>
    <col min="3" max="3" width="15" style="16" bestFit="1" customWidth="1"/>
    <col min="4" max="4" width="20.5703125" style="1" bestFit="1" customWidth="1"/>
    <col min="5" max="5" width="22" style="1" customWidth="1"/>
    <col min="6" max="6" width="13.42578125" style="1" bestFit="1" customWidth="1"/>
    <col min="7" max="7" width="19" style="1" customWidth="1"/>
    <col min="8" max="8" width="16.7109375" style="1" customWidth="1"/>
    <col min="9" max="9" width="23.42578125" style="1" customWidth="1"/>
    <col min="10" max="10" width="16.140625" style="1" customWidth="1"/>
    <col min="11" max="11" width="15.42578125" style="1" customWidth="1"/>
    <col min="12" max="12" width="15" style="2" customWidth="1"/>
    <col min="13" max="13" width="17.28515625" style="1" customWidth="1"/>
    <col min="14" max="14" width="16.5703125" style="1" customWidth="1"/>
    <col min="15" max="15" width="14.7109375" style="2" customWidth="1"/>
    <col min="16" max="16" width="17.28515625" style="1" customWidth="1"/>
    <col min="17" max="17" width="15" style="1" bestFit="1" customWidth="1"/>
    <col min="18" max="16384" width="28.42578125" style="1"/>
  </cols>
  <sheetData>
    <row r="1" spans="1:17" ht="20.100000000000001" customHeight="1" thickBot="1" x14ac:dyDescent="0.3">
      <c r="A1" s="5"/>
      <c r="B1" s="5"/>
      <c r="C1" s="18"/>
      <c r="D1" s="18"/>
      <c r="E1" s="18"/>
      <c r="F1" s="6"/>
      <c r="G1" s="18" t="s">
        <v>53</v>
      </c>
      <c r="H1" s="18"/>
      <c r="I1" s="18"/>
      <c r="J1" s="63"/>
      <c r="K1" s="63"/>
      <c r="L1" s="17"/>
      <c r="M1" s="5"/>
      <c r="N1" s="5"/>
      <c r="O1" s="17"/>
      <c r="P1" s="5"/>
      <c r="Q1" s="5"/>
    </row>
    <row r="2" spans="1:17" ht="20.100000000000001" customHeight="1" thickBot="1" x14ac:dyDescent="0.3">
      <c r="A2" s="64" t="s">
        <v>49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</row>
    <row r="3" spans="1:17" s="3" customFormat="1" ht="45.75" thickBot="1" x14ac:dyDescent="0.3">
      <c r="A3" s="19" t="s">
        <v>42</v>
      </c>
      <c r="B3" s="21" t="s">
        <v>21</v>
      </c>
      <c r="C3" s="22" t="s">
        <v>2</v>
      </c>
      <c r="D3" s="23" t="s">
        <v>47</v>
      </c>
      <c r="E3" s="20" t="s">
        <v>46</v>
      </c>
      <c r="F3" s="20" t="s">
        <v>31</v>
      </c>
      <c r="G3" s="20" t="s">
        <v>17</v>
      </c>
      <c r="H3" s="20" t="s">
        <v>28</v>
      </c>
      <c r="I3" s="20" t="s">
        <v>4</v>
      </c>
      <c r="J3" s="20" t="s">
        <v>5</v>
      </c>
      <c r="K3" s="21" t="s">
        <v>6</v>
      </c>
      <c r="L3" s="24" t="s">
        <v>27</v>
      </c>
      <c r="M3" s="20" t="s">
        <v>28</v>
      </c>
      <c r="N3" s="20" t="s">
        <v>18</v>
      </c>
      <c r="O3" s="24" t="s">
        <v>16</v>
      </c>
      <c r="P3" s="20" t="s">
        <v>8</v>
      </c>
      <c r="Q3" s="25" t="s">
        <v>15</v>
      </c>
    </row>
    <row r="4" spans="1:17" ht="39" customHeight="1" x14ac:dyDescent="0.25">
      <c r="A4" s="52">
        <v>1</v>
      </c>
      <c r="B4" s="53" t="s">
        <v>40</v>
      </c>
      <c r="C4" s="54">
        <v>213800</v>
      </c>
      <c r="D4" s="55">
        <f>ROUND(C4*60%,0)</f>
        <v>128280</v>
      </c>
      <c r="E4" s="55">
        <f>3600*160%</f>
        <v>5760</v>
      </c>
      <c r="F4" s="55">
        <f t="shared" ref="F4:F37" si="0">ROUND(C4*20/100,0)</f>
        <v>42760</v>
      </c>
      <c r="G4" s="53">
        <v>3000</v>
      </c>
      <c r="H4" s="53">
        <f t="shared" ref="H4:H37" si="1">+ROUND(SUM(C4+D4)*14/100,0)</f>
        <v>47891</v>
      </c>
      <c r="I4" s="55">
        <f t="shared" ref="I4:I37" si="2">+SUM(C4:H4)</f>
        <v>441491</v>
      </c>
      <c r="J4" s="55">
        <v>200</v>
      </c>
      <c r="K4" s="55">
        <v>90000</v>
      </c>
      <c r="L4" s="55">
        <f t="shared" ref="L4:L37" si="3">+ROUND(SUM(C4+D4)*0.1,0)</f>
        <v>34208</v>
      </c>
      <c r="M4" s="55">
        <f t="shared" ref="M4:M37" si="4">+H4</f>
        <v>47891</v>
      </c>
      <c r="N4" s="55">
        <v>1000</v>
      </c>
      <c r="O4" s="55">
        <v>0</v>
      </c>
      <c r="P4" s="55">
        <f t="shared" ref="P4:P37" si="5">SUM(J4:O4)</f>
        <v>173299</v>
      </c>
      <c r="Q4" s="56">
        <f t="shared" ref="Q4:Q37" si="6">+I4-P4</f>
        <v>268192</v>
      </c>
    </row>
    <row r="5" spans="1:17" ht="39" customHeight="1" x14ac:dyDescent="0.25">
      <c r="A5" s="52">
        <v>2</v>
      </c>
      <c r="B5" s="15" t="s">
        <v>40</v>
      </c>
      <c r="C5" s="57">
        <v>184500</v>
      </c>
      <c r="D5" s="55">
        <f t="shared" ref="D5:D37" si="7">ROUND(C5*60%,0)</f>
        <v>110700</v>
      </c>
      <c r="E5" s="55">
        <f t="shared" ref="E5:E37" si="8">3600*160%</f>
        <v>5760</v>
      </c>
      <c r="F5" s="12">
        <f t="shared" si="0"/>
        <v>36900</v>
      </c>
      <c r="G5" s="15">
        <v>3000</v>
      </c>
      <c r="H5" s="15">
        <f t="shared" si="1"/>
        <v>41328</v>
      </c>
      <c r="I5" s="12">
        <f t="shared" si="2"/>
        <v>382188</v>
      </c>
      <c r="J5" s="12">
        <v>200</v>
      </c>
      <c r="K5" s="12">
        <v>70000</v>
      </c>
      <c r="L5" s="12">
        <f t="shared" si="3"/>
        <v>29520</v>
      </c>
      <c r="M5" s="12">
        <f t="shared" si="4"/>
        <v>41328</v>
      </c>
      <c r="N5" s="12">
        <v>1000</v>
      </c>
      <c r="O5" s="55">
        <v>0</v>
      </c>
      <c r="P5" s="12">
        <f t="shared" si="5"/>
        <v>142048</v>
      </c>
      <c r="Q5" s="58">
        <f t="shared" si="6"/>
        <v>240140</v>
      </c>
    </row>
    <row r="6" spans="1:17" ht="24.95" customHeight="1" x14ac:dyDescent="0.25">
      <c r="A6" s="52">
        <v>3</v>
      </c>
      <c r="B6" s="53" t="s">
        <v>38</v>
      </c>
      <c r="C6" s="54">
        <v>152500</v>
      </c>
      <c r="D6" s="55">
        <f t="shared" si="7"/>
        <v>91500</v>
      </c>
      <c r="E6" s="55">
        <f t="shared" si="8"/>
        <v>5760</v>
      </c>
      <c r="F6" s="55">
        <f t="shared" si="0"/>
        <v>30500</v>
      </c>
      <c r="G6" s="55">
        <v>0</v>
      </c>
      <c r="H6" s="53">
        <f t="shared" si="1"/>
        <v>34160</v>
      </c>
      <c r="I6" s="55">
        <f t="shared" si="2"/>
        <v>314420</v>
      </c>
      <c r="J6" s="55">
        <v>200</v>
      </c>
      <c r="K6" s="55">
        <v>50000</v>
      </c>
      <c r="L6" s="55">
        <f t="shared" si="3"/>
        <v>24400</v>
      </c>
      <c r="M6" s="55">
        <f t="shared" si="4"/>
        <v>34160</v>
      </c>
      <c r="N6" s="55">
        <v>1000</v>
      </c>
      <c r="O6" s="55">
        <v>0</v>
      </c>
      <c r="P6" s="55">
        <f t="shared" si="5"/>
        <v>109760</v>
      </c>
      <c r="Q6" s="56">
        <f t="shared" si="6"/>
        <v>204660</v>
      </c>
    </row>
    <row r="7" spans="1:17" ht="24.95" customHeight="1" x14ac:dyDescent="0.25">
      <c r="A7" s="52">
        <v>4</v>
      </c>
      <c r="B7" s="15" t="s">
        <v>38</v>
      </c>
      <c r="C7" s="57">
        <v>152500</v>
      </c>
      <c r="D7" s="55">
        <f t="shared" si="7"/>
        <v>91500</v>
      </c>
      <c r="E7" s="55">
        <f t="shared" si="8"/>
        <v>5760</v>
      </c>
      <c r="F7" s="12">
        <f t="shared" si="0"/>
        <v>30500</v>
      </c>
      <c r="G7" s="55">
        <v>0</v>
      </c>
      <c r="H7" s="15">
        <f t="shared" si="1"/>
        <v>34160</v>
      </c>
      <c r="I7" s="12">
        <f t="shared" si="2"/>
        <v>314420</v>
      </c>
      <c r="J7" s="12">
        <v>200</v>
      </c>
      <c r="K7" s="55">
        <v>50000</v>
      </c>
      <c r="L7" s="12">
        <f t="shared" si="3"/>
        <v>24400</v>
      </c>
      <c r="M7" s="12">
        <f t="shared" si="4"/>
        <v>34160</v>
      </c>
      <c r="N7" s="12">
        <v>1000</v>
      </c>
      <c r="O7" s="55">
        <v>0</v>
      </c>
      <c r="P7" s="12">
        <f t="shared" si="5"/>
        <v>109760</v>
      </c>
      <c r="Q7" s="58">
        <f t="shared" si="6"/>
        <v>204660</v>
      </c>
    </row>
    <row r="8" spans="1:17" ht="24.95" customHeight="1" x14ac:dyDescent="0.25">
      <c r="A8" s="52">
        <v>5</v>
      </c>
      <c r="B8" s="15" t="s">
        <v>38</v>
      </c>
      <c r="C8" s="57">
        <v>152500</v>
      </c>
      <c r="D8" s="55">
        <f t="shared" si="7"/>
        <v>91500</v>
      </c>
      <c r="E8" s="55">
        <f t="shared" si="8"/>
        <v>5760</v>
      </c>
      <c r="F8" s="12">
        <f t="shared" si="0"/>
        <v>30500</v>
      </c>
      <c r="G8" s="55">
        <v>0</v>
      </c>
      <c r="H8" s="15">
        <f t="shared" si="1"/>
        <v>34160</v>
      </c>
      <c r="I8" s="12">
        <f t="shared" si="2"/>
        <v>314420</v>
      </c>
      <c r="J8" s="12">
        <v>200</v>
      </c>
      <c r="K8" s="12">
        <v>60000</v>
      </c>
      <c r="L8" s="12">
        <f t="shared" si="3"/>
        <v>24400</v>
      </c>
      <c r="M8" s="12">
        <f t="shared" si="4"/>
        <v>34160</v>
      </c>
      <c r="N8" s="12">
        <v>1000</v>
      </c>
      <c r="O8" s="55">
        <v>0</v>
      </c>
      <c r="P8" s="12">
        <f t="shared" si="5"/>
        <v>119760</v>
      </c>
      <c r="Q8" s="58">
        <f t="shared" si="6"/>
        <v>194660</v>
      </c>
    </row>
    <row r="9" spans="1:17" ht="24.95" customHeight="1" x14ac:dyDescent="0.25">
      <c r="A9" s="52">
        <v>6</v>
      </c>
      <c r="B9" s="15" t="s">
        <v>38</v>
      </c>
      <c r="C9" s="57">
        <v>152500</v>
      </c>
      <c r="D9" s="55">
        <f t="shared" si="7"/>
        <v>91500</v>
      </c>
      <c r="E9" s="55">
        <f t="shared" si="8"/>
        <v>5760</v>
      </c>
      <c r="F9" s="12">
        <f t="shared" si="0"/>
        <v>30500</v>
      </c>
      <c r="G9" s="55">
        <v>0</v>
      </c>
      <c r="H9" s="15">
        <f t="shared" si="1"/>
        <v>34160</v>
      </c>
      <c r="I9" s="12">
        <f t="shared" si="2"/>
        <v>314420</v>
      </c>
      <c r="J9" s="12">
        <v>200</v>
      </c>
      <c r="K9" s="12">
        <v>30000</v>
      </c>
      <c r="L9" s="12">
        <f t="shared" si="3"/>
        <v>24400</v>
      </c>
      <c r="M9" s="12">
        <f t="shared" si="4"/>
        <v>34160</v>
      </c>
      <c r="N9" s="12">
        <v>1000</v>
      </c>
      <c r="O9" s="55">
        <v>0</v>
      </c>
      <c r="P9" s="12">
        <f t="shared" si="5"/>
        <v>89760</v>
      </c>
      <c r="Q9" s="58">
        <f t="shared" si="6"/>
        <v>224660</v>
      </c>
    </row>
    <row r="10" spans="1:17" ht="24.95" customHeight="1" x14ac:dyDescent="0.25">
      <c r="A10" s="52">
        <v>7</v>
      </c>
      <c r="B10" s="15" t="s">
        <v>38</v>
      </c>
      <c r="C10" s="57">
        <v>148100</v>
      </c>
      <c r="D10" s="55">
        <f t="shared" si="7"/>
        <v>88860</v>
      </c>
      <c r="E10" s="55">
        <f t="shared" si="8"/>
        <v>5760</v>
      </c>
      <c r="F10" s="12">
        <f t="shared" si="0"/>
        <v>29620</v>
      </c>
      <c r="G10" s="55">
        <v>0</v>
      </c>
      <c r="H10" s="15">
        <f t="shared" si="1"/>
        <v>33174</v>
      </c>
      <c r="I10" s="12">
        <f t="shared" si="2"/>
        <v>305514</v>
      </c>
      <c r="J10" s="12">
        <v>200</v>
      </c>
      <c r="K10" s="12">
        <v>60000</v>
      </c>
      <c r="L10" s="12">
        <f t="shared" si="3"/>
        <v>23696</v>
      </c>
      <c r="M10" s="12">
        <f t="shared" si="4"/>
        <v>33174</v>
      </c>
      <c r="N10" s="12">
        <v>1000</v>
      </c>
      <c r="O10" s="55">
        <v>0</v>
      </c>
      <c r="P10" s="12">
        <f t="shared" si="5"/>
        <v>118070</v>
      </c>
      <c r="Q10" s="58">
        <f t="shared" si="6"/>
        <v>187444</v>
      </c>
    </row>
    <row r="11" spans="1:17" ht="24.95" customHeight="1" x14ac:dyDescent="0.25">
      <c r="A11" s="52">
        <v>8</v>
      </c>
      <c r="B11" s="15" t="s">
        <v>38</v>
      </c>
      <c r="C11" s="57">
        <v>152500</v>
      </c>
      <c r="D11" s="55">
        <f t="shared" si="7"/>
        <v>91500</v>
      </c>
      <c r="E11" s="55">
        <f t="shared" si="8"/>
        <v>5760</v>
      </c>
      <c r="F11" s="12">
        <f t="shared" si="0"/>
        <v>30500</v>
      </c>
      <c r="G11" s="15">
        <v>3000</v>
      </c>
      <c r="H11" s="15">
        <f t="shared" si="1"/>
        <v>34160</v>
      </c>
      <c r="I11" s="12">
        <f t="shared" si="2"/>
        <v>317420</v>
      </c>
      <c r="J11" s="12">
        <v>200</v>
      </c>
      <c r="K11" s="12">
        <v>60000</v>
      </c>
      <c r="L11" s="12">
        <f t="shared" si="3"/>
        <v>24400</v>
      </c>
      <c r="M11" s="12">
        <f t="shared" si="4"/>
        <v>34160</v>
      </c>
      <c r="N11" s="12">
        <v>1000</v>
      </c>
      <c r="O11" s="55">
        <v>0</v>
      </c>
      <c r="P11" s="12">
        <f t="shared" si="5"/>
        <v>119760</v>
      </c>
      <c r="Q11" s="58">
        <f t="shared" si="6"/>
        <v>197660</v>
      </c>
    </row>
    <row r="12" spans="1:17" ht="24.95" customHeight="1" x14ac:dyDescent="0.25">
      <c r="A12" s="52">
        <v>9</v>
      </c>
      <c r="B12" s="15" t="s">
        <v>38</v>
      </c>
      <c r="C12" s="57">
        <v>152500</v>
      </c>
      <c r="D12" s="55">
        <f t="shared" si="7"/>
        <v>91500</v>
      </c>
      <c r="E12" s="55">
        <f t="shared" si="8"/>
        <v>5760</v>
      </c>
      <c r="F12" s="12">
        <f t="shared" si="0"/>
        <v>30500</v>
      </c>
      <c r="G12" s="55">
        <v>0</v>
      </c>
      <c r="H12" s="15">
        <f t="shared" si="1"/>
        <v>34160</v>
      </c>
      <c r="I12" s="12">
        <f t="shared" si="2"/>
        <v>314420</v>
      </c>
      <c r="J12" s="12">
        <v>200</v>
      </c>
      <c r="K12" s="12">
        <v>80000</v>
      </c>
      <c r="L12" s="12">
        <f t="shared" si="3"/>
        <v>24400</v>
      </c>
      <c r="M12" s="12">
        <f t="shared" si="4"/>
        <v>34160</v>
      </c>
      <c r="N12" s="12">
        <v>1000</v>
      </c>
      <c r="O12" s="55">
        <v>0</v>
      </c>
      <c r="P12" s="12">
        <f t="shared" si="5"/>
        <v>139760</v>
      </c>
      <c r="Q12" s="58">
        <f t="shared" si="6"/>
        <v>174660</v>
      </c>
    </row>
    <row r="13" spans="1:17" ht="24.95" customHeight="1" x14ac:dyDescent="0.25">
      <c r="A13" s="52">
        <v>10</v>
      </c>
      <c r="B13" s="15" t="s">
        <v>38</v>
      </c>
      <c r="C13" s="57">
        <v>152500</v>
      </c>
      <c r="D13" s="55">
        <f t="shared" si="7"/>
        <v>91500</v>
      </c>
      <c r="E13" s="55">
        <f t="shared" si="8"/>
        <v>5760</v>
      </c>
      <c r="F13" s="12">
        <f t="shared" si="0"/>
        <v>30500</v>
      </c>
      <c r="G13" s="55">
        <v>0</v>
      </c>
      <c r="H13" s="15">
        <f t="shared" si="1"/>
        <v>34160</v>
      </c>
      <c r="I13" s="12">
        <f t="shared" si="2"/>
        <v>314420</v>
      </c>
      <c r="J13" s="12">
        <v>200</v>
      </c>
      <c r="K13" s="12">
        <v>60000</v>
      </c>
      <c r="L13" s="12">
        <f t="shared" si="3"/>
        <v>24400</v>
      </c>
      <c r="M13" s="12">
        <f t="shared" si="4"/>
        <v>34160</v>
      </c>
      <c r="N13" s="12">
        <v>1000</v>
      </c>
      <c r="O13" s="55">
        <v>0</v>
      </c>
      <c r="P13" s="12">
        <f t="shared" si="5"/>
        <v>119760</v>
      </c>
      <c r="Q13" s="58">
        <f t="shared" si="6"/>
        <v>194660</v>
      </c>
    </row>
    <row r="14" spans="1:17" ht="24.95" customHeight="1" x14ac:dyDescent="0.25">
      <c r="A14" s="52">
        <v>11</v>
      </c>
      <c r="B14" s="15" t="s">
        <v>38</v>
      </c>
      <c r="C14" s="57">
        <v>152500</v>
      </c>
      <c r="D14" s="55">
        <f t="shared" si="7"/>
        <v>91500</v>
      </c>
      <c r="E14" s="55">
        <f t="shared" si="8"/>
        <v>5760</v>
      </c>
      <c r="F14" s="12">
        <f t="shared" si="0"/>
        <v>30500</v>
      </c>
      <c r="G14" s="15">
        <v>3000</v>
      </c>
      <c r="H14" s="15">
        <f t="shared" si="1"/>
        <v>34160</v>
      </c>
      <c r="I14" s="12">
        <f t="shared" si="2"/>
        <v>317420</v>
      </c>
      <c r="J14" s="12">
        <v>200</v>
      </c>
      <c r="K14" s="12">
        <v>65000</v>
      </c>
      <c r="L14" s="12">
        <f t="shared" si="3"/>
        <v>24400</v>
      </c>
      <c r="M14" s="12">
        <f t="shared" si="4"/>
        <v>34160</v>
      </c>
      <c r="N14" s="12">
        <v>1000</v>
      </c>
      <c r="O14" s="55">
        <v>0</v>
      </c>
      <c r="P14" s="12">
        <f t="shared" si="5"/>
        <v>124760</v>
      </c>
      <c r="Q14" s="58">
        <f t="shared" si="6"/>
        <v>192660</v>
      </c>
    </row>
    <row r="15" spans="1:17" ht="24.95" customHeight="1" x14ac:dyDescent="0.25">
      <c r="A15" s="52">
        <v>12</v>
      </c>
      <c r="B15" s="15" t="s">
        <v>38</v>
      </c>
      <c r="C15" s="57">
        <v>152500</v>
      </c>
      <c r="D15" s="55">
        <f t="shared" si="7"/>
        <v>91500</v>
      </c>
      <c r="E15" s="55">
        <f t="shared" si="8"/>
        <v>5760</v>
      </c>
      <c r="F15" s="12">
        <f t="shared" si="0"/>
        <v>30500</v>
      </c>
      <c r="G15" s="15">
        <v>3000</v>
      </c>
      <c r="H15" s="15">
        <f t="shared" si="1"/>
        <v>34160</v>
      </c>
      <c r="I15" s="12">
        <f t="shared" si="2"/>
        <v>317420</v>
      </c>
      <c r="J15" s="12">
        <v>200</v>
      </c>
      <c r="K15" s="12">
        <v>50000</v>
      </c>
      <c r="L15" s="12">
        <f t="shared" si="3"/>
        <v>24400</v>
      </c>
      <c r="M15" s="12">
        <f t="shared" si="4"/>
        <v>34160</v>
      </c>
      <c r="N15" s="12">
        <v>1000</v>
      </c>
      <c r="O15" s="55">
        <v>0</v>
      </c>
      <c r="P15" s="12">
        <f t="shared" si="5"/>
        <v>109760</v>
      </c>
      <c r="Q15" s="58">
        <f t="shared" si="6"/>
        <v>207660</v>
      </c>
    </row>
    <row r="16" spans="1:17" ht="24.95" customHeight="1" x14ac:dyDescent="0.25">
      <c r="A16" s="52">
        <v>13</v>
      </c>
      <c r="B16" s="15" t="s">
        <v>38</v>
      </c>
      <c r="C16" s="57">
        <v>152500</v>
      </c>
      <c r="D16" s="55">
        <f t="shared" si="7"/>
        <v>91500</v>
      </c>
      <c r="E16" s="55">
        <f t="shared" si="8"/>
        <v>5760</v>
      </c>
      <c r="F16" s="12">
        <f t="shared" si="0"/>
        <v>30500</v>
      </c>
      <c r="G16" s="15">
        <v>3000</v>
      </c>
      <c r="H16" s="15">
        <f t="shared" si="1"/>
        <v>34160</v>
      </c>
      <c r="I16" s="12">
        <f t="shared" si="2"/>
        <v>317420</v>
      </c>
      <c r="J16" s="12">
        <v>200</v>
      </c>
      <c r="K16" s="12">
        <v>52000</v>
      </c>
      <c r="L16" s="12">
        <f t="shared" si="3"/>
        <v>24400</v>
      </c>
      <c r="M16" s="12">
        <f t="shared" si="4"/>
        <v>34160</v>
      </c>
      <c r="N16" s="12">
        <v>1000</v>
      </c>
      <c r="O16" s="55">
        <v>0</v>
      </c>
      <c r="P16" s="12">
        <f t="shared" si="5"/>
        <v>111760</v>
      </c>
      <c r="Q16" s="58">
        <f t="shared" si="6"/>
        <v>205660</v>
      </c>
    </row>
    <row r="17" spans="1:17" ht="24.95" customHeight="1" x14ac:dyDescent="0.25">
      <c r="A17" s="52">
        <v>14</v>
      </c>
      <c r="B17" s="15" t="s">
        <v>38</v>
      </c>
      <c r="C17" s="57">
        <v>152500</v>
      </c>
      <c r="D17" s="55">
        <f t="shared" si="7"/>
        <v>91500</v>
      </c>
      <c r="E17" s="55">
        <f t="shared" si="8"/>
        <v>5760</v>
      </c>
      <c r="F17" s="12">
        <f t="shared" si="0"/>
        <v>30500</v>
      </c>
      <c r="G17" s="15">
        <v>3000</v>
      </c>
      <c r="H17" s="15">
        <f t="shared" si="1"/>
        <v>34160</v>
      </c>
      <c r="I17" s="12">
        <f t="shared" si="2"/>
        <v>317420</v>
      </c>
      <c r="J17" s="12">
        <v>200</v>
      </c>
      <c r="K17" s="12">
        <v>51000</v>
      </c>
      <c r="L17" s="12">
        <f t="shared" si="3"/>
        <v>24400</v>
      </c>
      <c r="M17" s="12">
        <f t="shared" si="4"/>
        <v>34160</v>
      </c>
      <c r="N17" s="12">
        <v>1000</v>
      </c>
      <c r="O17" s="55">
        <v>0</v>
      </c>
      <c r="P17" s="12">
        <f t="shared" si="5"/>
        <v>110760</v>
      </c>
      <c r="Q17" s="58">
        <f t="shared" si="6"/>
        <v>206660</v>
      </c>
    </row>
    <row r="18" spans="1:17" ht="24.95" customHeight="1" x14ac:dyDescent="0.25">
      <c r="A18" s="52">
        <v>15</v>
      </c>
      <c r="B18" s="15" t="s">
        <v>38</v>
      </c>
      <c r="C18" s="57">
        <v>143800</v>
      </c>
      <c r="D18" s="55">
        <f t="shared" si="7"/>
        <v>86280</v>
      </c>
      <c r="E18" s="55">
        <f t="shared" si="8"/>
        <v>5760</v>
      </c>
      <c r="F18" s="12">
        <f t="shared" si="0"/>
        <v>28760</v>
      </c>
      <c r="G18" s="55">
        <v>0</v>
      </c>
      <c r="H18" s="15">
        <f t="shared" si="1"/>
        <v>32211</v>
      </c>
      <c r="I18" s="12">
        <f t="shared" si="2"/>
        <v>296811</v>
      </c>
      <c r="J18" s="12">
        <v>200</v>
      </c>
      <c r="K18" s="12">
        <v>45000</v>
      </c>
      <c r="L18" s="12">
        <f t="shared" si="3"/>
        <v>23008</v>
      </c>
      <c r="M18" s="12">
        <f t="shared" si="4"/>
        <v>32211</v>
      </c>
      <c r="N18" s="12">
        <v>1000</v>
      </c>
      <c r="O18" s="55">
        <v>0</v>
      </c>
      <c r="P18" s="12">
        <f t="shared" si="5"/>
        <v>101419</v>
      </c>
      <c r="Q18" s="58">
        <f t="shared" si="6"/>
        <v>195392</v>
      </c>
    </row>
    <row r="19" spans="1:17" ht="24.95" customHeight="1" x14ac:dyDescent="0.25">
      <c r="A19" s="52">
        <v>16</v>
      </c>
      <c r="B19" s="15" t="s">
        <v>38</v>
      </c>
      <c r="C19" s="57">
        <v>143800</v>
      </c>
      <c r="D19" s="55">
        <f t="shared" si="7"/>
        <v>86280</v>
      </c>
      <c r="E19" s="55">
        <f t="shared" si="8"/>
        <v>5760</v>
      </c>
      <c r="F19" s="12">
        <f t="shared" si="0"/>
        <v>28760</v>
      </c>
      <c r="G19" s="15">
        <v>3000</v>
      </c>
      <c r="H19" s="15">
        <f t="shared" si="1"/>
        <v>32211</v>
      </c>
      <c r="I19" s="12">
        <f t="shared" si="2"/>
        <v>299811</v>
      </c>
      <c r="J19" s="12">
        <v>200</v>
      </c>
      <c r="K19" s="12">
        <v>48000</v>
      </c>
      <c r="L19" s="12">
        <f t="shared" si="3"/>
        <v>23008</v>
      </c>
      <c r="M19" s="12">
        <f t="shared" si="4"/>
        <v>32211</v>
      </c>
      <c r="N19" s="12">
        <v>1000</v>
      </c>
      <c r="O19" s="55">
        <v>0</v>
      </c>
      <c r="P19" s="12">
        <f t="shared" si="5"/>
        <v>104419</v>
      </c>
      <c r="Q19" s="58">
        <f t="shared" si="6"/>
        <v>195392</v>
      </c>
    </row>
    <row r="20" spans="1:17" ht="24.95" customHeight="1" x14ac:dyDescent="0.25">
      <c r="A20" s="52">
        <v>17</v>
      </c>
      <c r="B20" s="15" t="s">
        <v>38</v>
      </c>
      <c r="C20" s="57">
        <v>143800</v>
      </c>
      <c r="D20" s="55">
        <f t="shared" si="7"/>
        <v>86280</v>
      </c>
      <c r="E20" s="55">
        <f t="shared" si="8"/>
        <v>5760</v>
      </c>
      <c r="F20" s="12">
        <f t="shared" si="0"/>
        <v>28760</v>
      </c>
      <c r="G20" s="55">
        <v>0</v>
      </c>
      <c r="H20" s="15">
        <f t="shared" si="1"/>
        <v>32211</v>
      </c>
      <c r="I20" s="12">
        <f t="shared" si="2"/>
        <v>296811</v>
      </c>
      <c r="J20" s="12">
        <v>200</v>
      </c>
      <c r="K20" s="12">
        <v>42000</v>
      </c>
      <c r="L20" s="12">
        <f t="shared" si="3"/>
        <v>23008</v>
      </c>
      <c r="M20" s="12">
        <f t="shared" si="4"/>
        <v>32211</v>
      </c>
      <c r="N20" s="12">
        <v>1000</v>
      </c>
      <c r="O20" s="55">
        <v>0</v>
      </c>
      <c r="P20" s="12">
        <f t="shared" si="5"/>
        <v>98419</v>
      </c>
      <c r="Q20" s="58">
        <f t="shared" si="6"/>
        <v>198392</v>
      </c>
    </row>
    <row r="21" spans="1:17" ht="24.95" customHeight="1" x14ac:dyDescent="0.25">
      <c r="A21" s="52">
        <v>18</v>
      </c>
      <c r="B21" s="15" t="s">
        <v>38</v>
      </c>
      <c r="C21" s="57">
        <v>152500</v>
      </c>
      <c r="D21" s="55">
        <f t="shared" si="7"/>
        <v>91500</v>
      </c>
      <c r="E21" s="55">
        <f t="shared" si="8"/>
        <v>5760</v>
      </c>
      <c r="F21" s="12">
        <f t="shared" si="0"/>
        <v>30500</v>
      </c>
      <c r="G21" s="55">
        <v>0</v>
      </c>
      <c r="H21" s="15">
        <f t="shared" si="1"/>
        <v>34160</v>
      </c>
      <c r="I21" s="12">
        <f t="shared" si="2"/>
        <v>314420</v>
      </c>
      <c r="J21" s="12">
        <v>200</v>
      </c>
      <c r="K21" s="12">
        <v>52000</v>
      </c>
      <c r="L21" s="12">
        <f t="shared" si="3"/>
        <v>24400</v>
      </c>
      <c r="M21" s="12">
        <f t="shared" si="4"/>
        <v>34160</v>
      </c>
      <c r="N21" s="12">
        <v>1000</v>
      </c>
      <c r="O21" s="55">
        <v>350</v>
      </c>
      <c r="P21" s="12">
        <f t="shared" si="5"/>
        <v>112110</v>
      </c>
      <c r="Q21" s="58">
        <f t="shared" si="6"/>
        <v>202310</v>
      </c>
    </row>
    <row r="22" spans="1:17" ht="29.25" customHeight="1" x14ac:dyDescent="0.25">
      <c r="A22" s="52">
        <v>19</v>
      </c>
      <c r="B22" s="11" t="s">
        <v>38</v>
      </c>
      <c r="C22" s="57">
        <v>143800</v>
      </c>
      <c r="D22" s="55">
        <f t="shared" si="7"/>
        <v>86280</v>
      </c>
      <c r="E22" s="55">
        <f t="shared" si="8"/>
        <v>5760</v>
      </c>
      <c r="F22" s="12">
        <f t="shared" si="0"/>
        <v>28760</v>
      </c>
      <c r="G22" s="55">
        <v>0</v>
      </c>
      <c r="H22" s="15">
        <f t="shared" si="1"/>
        <v>32211</v>
      </c>
      <c r="I22" s="12">
        <f t="shared" si="2"/>
        <v>296811</v>
      </c>
      <c r="J22" s="12">
        <v>200</v>
      </c>
      <c r="K22" s="12">
        <v>45000</v>
      </c>
      <c r="L22" s="12">
        <f t="shared" si="3"/>
        <v>23008</v>
      </c>
      <c r="M22" s="12">
        <f t="shared" si="4"/>
        <v>32211</v>
      </c>
      <c r="N22" s="12">
        <v>1000</v>
      </c>
      <c r="O22" s="55">
        <v>0</v>
      </c>
      <c r="P22" s="12">
        <f t="shared" si="5"/>
        <v>101419</v>
      </c>
      <c r="Q22" s="58">
        <f t="shared" si="6"/>
        <v>195392</v>
      </c>
    </row>
    <row r="23" spans="1:17" ht="27" customHeight="1" x14ac:dyDescent="0.25">
      <c r="A23" s="52">
        <v>20</v>
      </c>
      <c r="B23" s="11" t="s">
        <v>45</v>
      </c>
      <c r="C23" s="57">
        <v>139400</v>
      </c>
      <c r="D23" s="55">
        <f t="shared" si="7"/>
        <v>83640</v>
      </c>
      <c r="E23" s="55">
        <f t="shared" si="8"/>
        <v>5760</v>
      </c>
      <c r="F23" s="12">
        <f t="shared" si="0"/>
        <v>27880</v>
      </c>
      <c r="G23" s="55">
        <v>0</v>
      </c>
      <c r="H23" s="15">
        <f t="shared" si="1"/>
        <v>31226</v>
      </c>
      <c r="I23" s="12">
        <f t="shared" si="2"/>
        <v>287906</v>
      </c>
      <c r="J23" s="12">
        <v>200</v>
      </c>
      <c r="K23" s="12">
        <v>45000</v>
      </c>
      <c r="L23" s="12">
        <f t="shared" si="3"/>
        <v>22304</v>
      </c>
      <c r="M23" s="12">
        <f t="shared" si="4"/>
        <v>31226</v>
      </c>
      <c r="N23" s="12">
        <v>1000</v>
      </c>
      <c r="O23" s="55">
        <v>274</v>
      </c>
      <c r="P23" s="12">
        <f t="shared" si="5"/>
        <v>100004</v>
      </c>
      <c r="Q23" s="58">
        <f t="shared" si="6"/>
        <v>187902</v>
      </c>
    </row>
    <row r="24" spans="1:17" ht="24.95" customHeight="1" x14ac:dyDescent="0.25">
      <c r="A24" s="52">
        <v>21</v>
      </c>
      <c r="B24" s="15" t="s">
        <v>39</v>
      </c>
      <c r="C24" s="57">
        <v>107600</v>
      </c>
      <c r="D24" s="55">
        <f t="shared" si="7"/>
        <v>64560</v>
      </c>
      <c r="E24" s="55">
        <f t="shared" si="8"/>
        <v>5760</v>
      </c>
      <c r="F24" s="12">
        <f t="shared" si="0"/>
        <v>21520</v>
      </c>
      <c r="G24" s="55">
        <v>0</v>
      </c>
      <c r="H24" s="15">
        <f t="shared" si="1"/>
        <v>24102</v>
      </c>
      <c r="I24" s="12">
        <f t="shared" si="2"/>
        <v>223542</v>
      </c>
      <c r="J24" s="12">
        <v>200</v>
      </c>
      <c r="K24" s="12">
        <v>29000</v>
      </c>
      <c r="L24" s="12">
        <f t="shared" si="3"/>
        <v>17216</v>
      </c>
      <c r="M24" s="12">
        <f t="shared" si="4"/>
        <v>24102</v>
      </c>
      <c r="N24" s="12">
        <v>1000</v>
      </c>
      <c r="O24" s="55">
        <v>407</v>
      </c>
      <c r="P24" s="12">
        <f t="shared" si="5"/>
        <v>71925</v>
      </c>
      <c r="Q24" s="58">
        <f t="shared" si="6"/>
        <v>151617</v>
      </c>
    </row>
    <row r="25" spans="1:17" ht="33" customHeight="1" x14ac:dyDescent="0.25">
      <c r="A25" s="52">
        <v>22</v>
      </c>
      <c r="B25" s="15" t="s">
        <v>39</v>
      </c>
      <c r="C25" s="57">
        <v>107600</v>
      </c>
      <c r="D25" s="55">
        <f t="shared" si="7"/>
        <v>64560</v>
      </c>
      <c r="E25" s="55">
        <f t="shared" si="8"/>
        <v>5760</v>
      </c>
      <c r="F25" s="12">
        <f t="shared" si="0"/>
        <v>21520</v>
      </c>
      <c r="G25" s="55">
        <v>0</v>
      </c>
      <c r="H25" s="15">
        <f t="shared" si="1"/>
        <v>24102</v>
      </c>
      <c r="I25" s="12">
        <f t="shared" si="2"/>
        <v>223542</v>
      </c>
      <c r="J25" s="12">
        <v>200</v>
      </c>
      <c r="K25" s="12">
        <v>30000</v>
      </c>
      <c r="L25" s="12">
        <f t="shared" si="3"/>
        <v>17216</v>
      </c>
      <c r="M25" s="12">
        <f t="shared" si="4"/>
        <v>24102</v>
      </c>
      <c r="N25" s="12">
        <v>1000</v>
      </c>
      <c r="O25" s="55">
        <v>125</v>
      </c>
      <c r="P25" s="12">
        <f t="shared" si="5"/>
        <v>72643</v>
      </c>
      <c r="Q25" s="58">
        <f t="shared" si="6"/>
        <v>150899</v>
      </c>
    </row>
    <row r="26" spans="1:17" ht="24.95" customHeight="1" x14ac:dyDescent="0.25">
      <c r="A26" s="52">
        <v>23</v>
      </c>
      <c r="B26" s="15" t="s">
        <v>39</v>
      </c>
      <c r="C26" s="57">
        <v>107600</v>
      </c>
      <c r="D26" s="55">
        <f t="shared" si="7"/>
        <v>64560</v>
      </c>
      <c r="E26" s="55">
        <f t="shared" si="8"/>
        <v>5760</v>
      </c>
      <c r="F26" s="12">
        <f t="shared" si="0"/>
        <v>21520</v>
      </c>
      <c r="G26" s="55">
        <v>0</v>
      </c>
      <c r="H26" s="15">
        <f t="shared" si="1"/>
        <v>24102</v>
      </c>
      <c r="I26" s="12">
        <f t="shared" si="2"/>
        <v>223542</v>
      </c>
      <c r="J26" s="12">
        <v>200</v>
      </c>
      <c r="K26" s="12">
        <v>32000</v>
      </c>
      <c r="L26" s="12">
        <f t="shared" si="3"/>
        <v>17216</v>
      </c>
      <c r="M26" s="12">
        <f t="shared" si="4"/>
        <v>24102</v>
      </c>
      <c r="N26" s="12">
        <v>1000</v>
      </c>
      <c r="O26" s="55">
        <v>0</v>
      </c>
      <c r="P26" s="12">
        <f t="shared" si="5"/>
        <v>74518</v>
      </c>
      <c r="Q26" s="58">
        <f t="shared" si="6"/>
        <v>149024</v>
      </c>
    </row>
    <row r="27" spans="1:17" ht="24.95" customHeight="1" x14ac:dyDescent="0.25">
      <c r="A27" s="52">
        <v>24</v>
      </c>
      <c r="B27" s="15" t="s">
        <v>39</v>
      </c>
      <c r="C27" s="57">
        <v>107600</v>
      </c>
      <c r="D27" s="55">
        <f t="shared" si="7"/>
        <v>64560</v>
      </c>
      <c r="E27" s="55">
        <f t="shared" si="8"/>
        <v>5760</v>
      </c>
      <c r="F27" s="12">
        <f t="shared" si="0"/>
        <v>21520</v>
      </c>
      <c r="G27" s="55">
        <v>0</v>
      </c>
      <c r="H27" s="15">
        <f t="shared" si="1"/>
        <v>24102</v>
      </c>
      <c r="I27" s="12">
        <f t="shared" si="2"/>
        <v>223542</v>
      </c>
      <c r="J27" s="12">
        <v>200</v>
      </c>
      <c r="K27" s="12">
        <v>26000</v>
      </c>
      <c r="L27" s="12">
        <f t="shared" si="3"/>
        <v>17216</v>
      </c>
      <c r="M27" s="12">
        <f t="shared" si="4"/>
        <v>24102</v>
      </c>
      <c r="N27" s="12">
        <v>1000</v>
      </c>
      <c r="O27" s="55">
        <v>0</v>
      </c>
      <c r="P27" s="12">
        <f t="shared" si="5"/>
        <v>68518</v>
      </c>
      <c r="Q27" s="58">
        <f t="shared" si="6"/>
        <v>155024</v>
      </c>
    </row>
    <row r="28" spans="1:17" ht="24.95" customHeight="1" x14ac:dyDescent="0.25">
      <c r="A28" s="52">
        <v>25</v>
      </c>
      <c r="B28" s="15" t="s">
        <v>48</v>
      </c>
      <c r="C28" s="57">
        <v>131400</v>
      </c>
      <c r="D28" s="55">
        <f t="shared" si="7"/>
        <v>78840</v>
      </c>
      <c r="E28" s="55">
        <f t="shared" si="8"/>
        <v>5760</v>
      </c>
      <c r="F28" s="12">
        <f t="shared" si="0"/>
        <v>26280</v>
      </c>
      <c r="G28" s="55">
        <v>0</v>
      </c>
      <c r="H28" s="15">
        <f t="shared" si="1"/>
        <v>29434</v>
      </c>
      <c r="I28" s="12">
        <f t="shared" si="2"/>
        <v>271714</v>
      </c>
      <c r="J28" s="12">
        <v>200</v>
      </c>
      <c r="K28" s="12">
        <v>30000</v>
      </c>
      <c r="L28" s="12">
        <f t="shared" si="3"/>
        <v>21024</v>
      </c>
      <c r="M28" s="12">
        <f t="shared" si="4"/>
        <v>29434</v>
      </c>
      <c r="N28" s="12">
        <v>1000</v>
      </c>
      <c r="O28" s="55">
        <v>0</v>
      </c>
      <c r="P28" s="12">
        <f t="shared" si="5"/>
        <v>81658</v>
      </c>
      <c r="Q28" s="58">
        <f t="shared" si="6"/>
        <v>190056</v>
      </c>
    </row>
    <row r="29" spans="1:17" ht="24.95" customHeight="1" x14ac:dyDescent="0.25">
      <c r="A29" s="52">
        <v>26</v>
      </c>
      <c r="B29" s="15" t="s">
        <v>48</v>
      </c>
      <c r="C29" s="57">
        <v>131400</v>
      </c>
      <c r="D29" s="55">
        <f t="shared" si="7"/>
        <v>78840</v>
      </c>
      <c r="E29" s="55">
        <f t="shared" si="8"/>
        <v>5760</v>
      </c>
      <c r="F29" s="12">
        <f t="shared" si="0"/>
        <v>26280</v>
      </c>
      <c r="G29" s="55">
        <v>0</v>
      </c>
      <c r="H29" s="15">
        <f t="shared" si="1"/>
        <v>29434</v>
      </c>
      <c r="I29" s="12">
        <f t="shared" si="2"/>
        <v>271714</v>
      </c>
      <c r="J29" s="12">
        <v>200</v>
      </c>
      <c r="K29" s="12">
        <v>36000</v>
      </c>
      <c r="L29" s="12">
        <f t="shared" si="3"/>
        <v>21024</v>
      </c>
      <c r="M29" s="12">
        <f t="shared" si="4"/>
        <v>29434</v>
      </c>
      <c r="N29" s="12">
        <v>1000</v>
      </c>
      <c r="O29" s="55">
        <v>0</v>
      </c>
      <c r="P29" s="12">
        <f t="shared" si="5"/>
        <v>87658</v>
      </c>
      <c r="Q29" s="58">
        <f t="shared" si="6"/>
        <v>184056</v>
      </c>
    </row>
    <row r="30" spans="1:17" ht="24.95" customHeight="1" x14ac:dyDescent="0.25">
      <c r="A30" s="52">
        <v>27</v>
      </c>
      <c r="B30" s="15" t="s">
        <v>39</v>
      </c>
      <c r="C30" s="57">
        <v>104500</v>
      </c>
      <c r="D30" s="55">
        <f t="shared" si="7"/>
        <v>62700</v>
      </c>
      <c r="E30" s="55">
        <f t="shared" si="8"/>
        <v>5760</v>
      </c>
      <c r="F30" s="12">
        <f t="shared" si="0"/>
        <v>20900</v>
      </c>
      <c r="G30" s="55">
        <v>0</v>
      </c>
      <c r="H30" s="15">
        <f t="shared" si="1"/>
        <v>23408</v>
      </c>
      <c r="I30" s="12">
        <f t="shared" si="2"/>
        <v>217268</v>
      </c>
      <c r="J30" s="12">
        <v>200</v>
      </c>
      <c r="K30" s="12">
        <v>29500</v>
      </c>
      <c r="L30" s="12">
        <f t="shared" si="3"/>
        <v>16720</v>
      </c>
      <c r="M30" s="12">
        <f t="shared" si="4"/>
        <v>23408</v>
      </c>
      <c r="N30" s="12">
        <v>1000</v>
      </c>
      <c r="O30" s="55">
        <v>0</v>
      </c>
      <c r="P30" s="12">
        <f t="shared" si="5"/>
        <v>70828</v>
      </c>
      <c r="Q30" s="58">
        <f t="shared" si="6"/>
        <v>146440</v>
      </c>
    </row>
    <row r="31" spans="1:17" ht="24.95" customHeight="1" x14ac:dyDescent="0.25">
      <c r="A31" s="52">
        <v>28</v>
      </c>
      <c r="B31" s="15" t="s">
        <v>39</v>
      </c>
      <c r="C31" s="57">
        <v>107600</v>
      </c>
      <c r="D31" s="55">
        <f t="shared" si="7"/>
        <v>64560</v>
      </c>
      <c r="E31" s="55">
        <f t="shared" si="8"/>
        <v>5760</v>
      </c>
      <c r="F31" s="12">
        <f t="shared" si="0"/>
        <v>21520</v>
      </c>
      <c r="G31" s="55">
        <v>0</v>
      </c>
      <c r="H31" s="15">
        <f t="shared" si="1"/>
        <v>24102</v>
      </c>
      <c r="I31" s="12">
        <f t="shared" si="2"/>
        <v>223542</v>
      </c>
      <c r="J31" s="12">
        <v>200</v>
      </c>
      <c r="K31" s="12">
        <v>25000</v>
      </c>
      <c r="L31" s="12">
        <f t="shared" si="3"/>
        <v>17216</v>
      </c>
      <c r="M31" s="12">
        <f t="shared" si="4"/>
        <v>24102</v>
      </c>
      <c r="N31" s="12">
        <v>1000</v>
      </c>
      <c r="O31" s="55">
        <v>0</v>
      </c>
      <c r="P31" s="12">
        <f t="shared" si="5"/>
        <v>67518</v>
      </c>
      <c r="Q31" s="58">
        <f t="shared" si="6"/>
        <v>156024</v>
      </c>
    </row>
    <row r="32" spans="1:17" ht="24.95" customHeight="1" x14ac:dyDescent="0.25">
      <c r="A32" s="52">
        <v>29</v>
      </c>
      <c r="B32" s="15" t="s">
        <v>39</v>
      </c>
      <c r="C32" s="57">
        <v>107600</v>
      </c>
      <c r="D32" s="55">
        <f t="shared" si="7"/>
        <v>64560</v>
      </c>
      <c r="E32" s="55">
        <v>5760</v>
      </c>
      <c r="F32" s="12">
        <f t="shared" si="0"/>
        <v>21520</v>
      </c>
      <c r="G32" s="55">
        <v>0</v>
      </c>
      <c r="H32" s="15">
        <f t="shared" si="1"/>
        <v>24102</v>
      </c>
      <c r="I32" s="12">
        <f t="shared" si="2"/>
        <v>223542</v>
      </c>
      <c r="J32" s="12">
        <v>200</v>
      </c>
      <c r="K32" s="12">
        <v>28000</v>
      </c>
      <c r="L32" s="12">
        <f t="shared" si="3"/>
        <v>17216</v>
      </c>
      <c r="M32" s="12">
        <f t="shared" si="4"/>
        <v>24102</v>
      </c>
      <c r="N32" s="12">
        <v>1000</v>
      </c>
      <c r="O32" s="55">
        <v>5760</v>
      </c>
      <c r="P32" s="12">
        <f t="shared" si="5"/>
        <v>76278</v>
      </c>
      <c r="Q32" s="58">
        <f t="shared" si="6"/>
        <v>147264</v>
      </c>
    </row>
    <row r="33" spans="1:19" ht="39.75" customHeight="1" x14ac:dyDescent="0.25">
      <c r="A33" s="52">
        <v>30</v>
      </c>
      <c r="B33" s="43" t="s">
        <v>39</v>
      </c>
      <c r="C33" s="59">
        <v>104500</v>
      </c>
      <c r="D33" s="55">
        <f t="shared" si="7"/>
        <v>62700</v>
      </c>
      <c r="E33" s="55">
        <f t="shared" si="8"/>
        <v>5760</v>
      </c>
      <c r="F33" s="60">
        <f t="shared" si="0"/>
        <v>20900</v>
      </c>
      <c r="G33" s="55">
        <v>0</v>
      </c>
      <c r="H33" s="51">
        <f t="shared" si="1"/>
        <v>23408</v>
      </c>
      <c r="I33" s="60">
        <f t="shared" si="2"/>
        <v>217268</v>
      </c>
      <c r="J33" s="60">
        <v>200</v>
      </c>
      <c r="K33" s="60">
        <v>30000</v>
      </c>
      <c r="L33" s="60">
        <f t="shared" si="3"/>
        <v>16720</v>
      </c>
      <c r="M33" s="60">
        <f t="shared" si="4"/>
        <v>23408</v>
      </c>
      <c r="N33" s="60">
        <v>1000</v>
      </c>
      <c r="O33" s="55">
        <v>0</v>
      </c>
      <c r="P33" s="60">
        <f t="shared" si="5"/>
        <v>71328</v>
      </c>
      <c r="Q33" s="61">
        <f t="shared" si="6"/>
        <v>145940</v>
      </c>
    </row>
    <row r="34" spans="1:19" ht="31.5" customHeight="1" x14ac:dyDescent="0.25">
      <c r="A34" s="52">
        <v>31</v>
      </c>
      <c r="B34" s="15" t="s">
        <v>44</v>
      </c>
      <c r="C34" s="57">
        <v>104500</v>
      </c>
      <c r="D34" s="55">
        <f t="shared" si="7"/>
        <v>62700</v>
      </c>
      <c r="E34" s="55">
        <f t="shared" si="8"/>
        <v>5760</v>
      </c>
      <c r="F34" s="12">
        <f t="shared" si="0"/>
        <v>20900</v>
      </c>
      <c r="G34" s="55">
        <v>5000</v>
      </c>
      <c r="H34" s="15">
        <f t="shared" si="1"/>
        <v>23408</v>
      </c>
      <c r="I34" s="12">
        <f t="shared" si="2"/>
        <v>222268</v>
      </c>
      <c r="J34" s="12">
        <v>200</v>
      </c>
      <c r="K34" s="12">
        <v>20000</v>
      </c>
      <c r="L34" s="12">
        <f t="shared" si="3"/>
        <v>16720</v>
      </c>
      <c r="M34" s="12">
        <f t="shared" si="4"/>
        <v>23408</v>
      </c>
      <c r="N34" s="12">
        <v>1000</v>
      </c>
      <c r="O34" s="55">
        <v>0</v>
      </c>
      <c r="P34" s="12">
        <f t="shared" si="5"/>
        <v>61328</v>
      </c>
      <c r="Q34" s="58">
        <f t="shared" si="6"/>
        <v>160940</v>
      </c>
      <c r="S34" s="1">
        <v>159121</v>
      </c>
    </row>
    <row r="35" spans="1:19" ht="24.95" customHeight="1" x14ac:dyDescent="0.25">
      <c r="A35" s="52">
        <v>32</v>
      </c>
      <c r="B35" s="40" t="s">
        <v>41</v>
      </c>
      <c r="C35" s="59">
        <f>89900</f>
        <v>89900</v>
      </c>
      <c r="D35" s="55">
        <f t="shared" si="7"/>
        <v>53940</v>
      </c>
      <c r="E35" s="55">
        <f t="shared" si="8"/>
        <v>5760</v>
      </c>
      <c r="F35" s="60">
        <f t="shared" si="0"/>
        <v>17980</v>
      </c>
      <c r="G35" s="55">
        <v>0</v>
      </c>
      <c r="H35" s="51">
        <f t="shared" si="1"/>
        <v>20138</v>
      </c>
      <c r="I35" s="60">
        <f t="shared" si="2"/>
        <v>187718</v>
      </c>
      <c r="J35" s="60">
        <v>200</v>
      </c>
      <c r="K35" s="60">
        <v>15000</v>
      </c>
      <c r="L35" s="12">
        <f t="shared" si="3"/>
        <v>14384</v>
      </c>
      <c r="M35" s="12">
        <f t="shared" si="4"/>
        <v>20138</v>
      </c>
      <c r="N35" s="12">
        <v>650</v>
      </c>
      <c r="O35" s="55">
        <v>0</v>
      </c>
      <c r="P35" s="12">
        <f t="shared" si="5"/>
        <v>50372</v>
      </c>
      <c r="Q35" s="58">
        <f t="shared" si="6"/>
        <v>137346</v>
      </c>
      <c r="S35" s="2">
        <f>+S34-Q34</f>
        <v>-1819</v>
      </c>
    </row>
    <row r="36" spans="1:19" ht="39" customHeight="1" x14ac:dyDescent="0.25">
      <c r="A36" s="52">
        <v>33</v>
      </c>
      <c r="B36" s="43" t="s">
        <v>39</v>
      </c>
      <c r="C36" s="59">
        <v>104500</v>
      </c>
      <c r="D36" s="55">
        <f t="shared" si="7"/>
        <v>62700</v>
      </c>
      <c r="E36" s="55">
        <f t="shared" si="8"/>
        <v>5760</v>
      </c>
      <c r="F36" s="60">
        <f t="shared" si="0"/>
        <v>20900</v>
      </c>
      <c r="G36" s="55">
        <v>0</v>
      </c>
      <c r="H36" s="51">
        <f t="shared" si="1"/>
        <v>23408</v>
      </c>
      <c r="I36" s="60">
        <f t="shared" si="2"/>
        <v>217268</v>
      </c>
      <c r="J36" s="60">
        <v>200</v>
      </c>
      <c r="K36" s="60">
        <v>30000</v>
      </c>
      <c r="L36" s="60">
        <f t="shared" si="3"/>
        <v>16720</v>
      </c>
      <c r="M36" s="60">
        <f t="shared" si="4"/>
        <v>23408</v>
      </c>
      <c r="N36" s="60">
        <v>1000</v>
      </c>
      <c r="O36" s="55">
        <v>0</v>
      </c>
      <c r="P36" s="60">
        <f t="shared" si="5"/>
        <v>71328</v>
      </c>
      <c r="Q36" s="61">
        <f t="shared" si="6"/>
        <v>145940</v>
      </c>
    </row>
    <row r="37" spans="1:19" ht="39" customHeight="1" thickBot="1" x14ac:dyDescent="0.3">
      <c r="A37" s="52">
        <v>34</v>
      </c>
      <c r="B37" s="39" t="s">
        <v>41</v>
      </c>
      <c r="C37" s="59">
        <f>89900</f>
        <v>89900</v>
      </c>
      <c r="D37" s="62">
        <f t="shared" si="7"/>
        <v>53940</v>
      </c>
      <c r="E37" s="62">
        <f t="shared" si="8"/>
        <v>5760</v>
      </c>
      <c r="F37" s="60">
        <f t="shared" si="0"/>
        <v>17980</v>
      </c>
      <c r="G37" s="62">
        <v>0</v>
      </c>
      <c r="H37" s="51">
        <f t="shared" si="1"/>
        <v>20138</v>
      </c>
      <c r="I37" s="60">
        <f t="shared" si="2"/>
        <v>187718</v>
      </c>
      <c r="J37" s="60">
        <v>200</v>
      </c>
      <c r="K37" s="60">
        <v>20000</v>
      </c>
      <c r="L37" s="60">
        <f t="shared" si="3"/>
        <v>14384</v>
      </c>
      <c r="M37" s="60">
        <f t="shared" si="4"/>
        <v>20138</v>
      </c>
      <c r="N37" s="60">
        <v>650</v>
      </c>
      <c r="O37" s="62">
        <v>0</v>
      </c>
      <c r="P37" s="60">
        <f t="shared" si="5"/>
        <v>55372</v>
      </c>
      <c r="Q37" s="61">
        <f t="shared" si="6"/>
        <v>132346</v>
      </c>
    </row>
    <row r="38" spans="1:19" ht="24.95" customHeight="1" thickBot="1" x14ac:dyDescent="0.3">
      <c r="A38" s="67" t="s">
        <v>13</v>
      </c>
      <c r="B38" s="68"/>
      <c r="C38" s="27">
        <f t="shared" ref="C38:N38" si="9">+SUM(C4:C37)</f>
        <v>4597200</v>
      </c>
      <c r="D38" s="27">
        <f t="shared" si="9"/>
        <v>2758320</v>
      </c>
      <c r="E38" s="27">
        <f t="shared" si="9"/>
        <v>195840</v>
      </c>
      <c r="F38" s="27">
        <f t="shared" si="9"/>
        <v>919440</v>
      </c>
      <c r="G38" s="27">
        <f t="shared" si="9"/>
        <v>29000</v>
      </c>
      <c r="H38" s="27">
        <f t="shared" si="9"/>
        <v>1029771</v>
      </c>
      <c r="I38" s="27">
        <f t="shared" si="9"/>
        <v>9529571</v>
      </c>
      <c r="J38" s="27">
        <f t="shared" si="9"/>
        <v>6800</v>
      </c>
      <c r="K38" s="27">
        <f t="shared" si="9"/>
        <v>1485500</v>
      </c>
      <c r="L38" s="27">
        <f t="shared" si="9"/>
        <v>735552</v>
      </c>
      <c r="M38" s="27">
        <f t="shared" si="9"/>
        <v>1029771</v>
      </c>
      <c r="N38" s="27">
        <f t="shared" si="9"/>
        <v>33300</v>
      </c>
      <c r="O38" s="27">
        <f>+SUM(O4:O37)</f>
        <v>6916</v>
      </c>
      <c r="P38" s="27">
        <f>+SUM(P4:P37)</f>
        <v>3297839</v>
      </c>
      <c r="Q38" s="28">
        <f>+SUM(Q4:Q37)</f>
        <v>6231732</v>
      </c>
    </row>
    <row r="39" spans="1:19" x14ac:dyDescent="0.25">
      <c r="C39" s="14"/>
    </row>
    <row r="40" spans="1:19" x14ac:dyDescent="0.25">
      <c r="P40" s="2"/>
    </row>
    <row r="41" spans="1:19" s="5" customFormat="1" ht="15" x14ac:dyDescent="0.25">
      <c r="B41" s="6"/>
      <c r="C41" s="6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</sheetData>
  <mergeCells count="3">
    <mergeCell ref="J1:K1"/>
    <mergeCell ref="A2:Q2"/>
    <mergeCell ref="A38:B38"/>
  </mergeCells>
  <conditionalFormatting sqref="A4:A37">
    <cfRule type="duplicateValues" dxfId="1" priority="540"/>
  </conditionalFormatting>
  <conditionalFormatting sqref="A38 A2">
    <cfRule type="duplicateValues" dxfId="0" priority="54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8" scale="56" orientation="landscape" horizont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Q29"/>
  <sheetViews>
    <sheetView tabSelected="1" topLeftCell="A16" zoomScale="70" zoomScaleNormal="70" workbookViewId="0">
      <pane xSplit="2" topLeftCell="C1" activePane="topRight" state="frozen"/>
      <selection activeCell="N42" sqref="A42:XFD51"/>
      <selection pane="topRight" activeCell="C46" sqref="C46"/>
    </sheetView>
  </sheetViews>
  <sheetFormatPr defaultRowHeight="21.95" customHeight="1" x14ac:dyDescent="0.2"/>
  <cols>
    <col min="1" max="1" width="28.140625" style="9" customWidth="1"/>
    <col min="2" max="2" width="19.7109375" style="8" customWidth="1"/>
    <col min="3" max="3" width="15.7109375" style="8" bestFit="1" customWidth="1"/>
    <col min="4" max="4" width="19.5703125" style="8" customWidth="1"/>
    <col min="5" max="5" width="13.140625" style="8" customWidth="1"/>
    <col min="6" max="6" width="14" style="8" bestFit="1" customWidth="1"/>
    <col min="7" max="7" width="19.5703125" style="8" customWidth="1"/>
    <col min="8" max="8" width="16" style="8" bestFit="1" customWidth="1"/>
    <col min="9" max="9" width="15.42578125" style="8" customWidth="1"/>
    <col min="10" max="10" width="13.85546875" style="8" customWidth="1"/>
    <col min="11" max="11" width="20.85546875" style="8" customWidth="1"/>
    <col min="12" max="12" width="16.85546875" style="8" customWidth="1"/>
    <col min="13" max="13" width="18.28515625" style="8" customWidth="1"/>
    <col min="14" max="14" width="13.42578125" style="8" customWidth="1"/>
    <col min="15" max="15" width="15.7109375" style="8" customWidth="1"/>
    <col min="16" max="16" width="15.7109375" style="8" bestFit="1" customWidth="1"/>
    <col min="17" max="17" width="10" style="29" bestFit="1" customWidth="1"/>
    <col min="18" max="16384" width="9.140625" style="7"/>
  </cols>
  <sheetData>
    <row r="1" spans="1:17" s="4" customFormat="1" ht="21.95" customHeight="1" x14ac:dyDescent="0.2">
      <c r="A1" s="6"/>
      <c r="B1" s="69" t="s">
        <v>52</v>
      </c>
      <c r="C1" s="69"/>
      <c r="D1" s="69"/>
      <c r="E1" s="69"/>
      <c r="F1" s="69"/>
      <c r="G1" s="69"/>
      <c r="H1" s="69"/>
      <c r="I1" s="69"/>
      <c r="J1" s="69"/>
      <c r="K1" s="69"/>
      <c r="L1" s="5"/>
      <c r="M1" s="5"/>
      <c r="N1" s="5"/>
      <c r="O1" s="5"/>
      <c r="P1" s="5"/>
    </row>
    <row r="2" spans="1:17" ht="21.95" customHeight="1" thickBot="1" x14ac:dyDescent="0.25"/>
    <row r="3" spans="1:17" ht="21.95" customHeight="1" thickBo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3"/>
    </row>
    <row r="4" spans="1:17" s="10" customFormat="1" ht="51" customHeight="1" x14ac:dyDescent="0.2">
      <c r="A4" s="26" t="s">
        <v>0</v>
      </c>
      <c r="B4" s="31" t="s">
        <v>1</v>
      </c>
      <c r="C4" s="38" t="s">
        <v>2</v>
      </c>
      <c r="D4" s="32" t="s">
        <v>47</v>
      </c>
      <c r="E4" s="26" t="s">
        <v>3</v>
      </c>
      <c r="F4" s="26" t="s">
        <v>31</v>
      </c>
      <c r="G4" s="26" t="s">
        <v>29</v>
      </c>
      <c r="H4" s="26" t="s">
        <v>14</v>
      </c>
      <c r="I4" s="26" t="s">
        <v>5</v>
      </c>
      <c r="J4" s="31" t="s">
        <v>6</v>
      </c>
      <c r="K4" s="26" t="s">
        <v>27</v>
      </c>
      <c r="L4" s="26" t="s">
        <v>30</v>
      </c>
      <c r="M4" s="26" t="s">
        <v>18</v>
      </c>
      <c r="N4" s="26" t="s">
        <v>7</v>
      </c>
      <c r="O4" s="26" t="s">
        <v>8</v>
      </c>
      <c r="P4" s="33" t="s">
        <v>9</v>
      </c>
      <c r="Q4" s="29"/>
    </row>
    <row r="5" spans="1:17" ht="27.75" customHeight="1" x14ac:dyDescent="0.2">
      <c r="A5" s="11" t="s">
        <v>24</v>
      </c>
      <c r="B5" s="41" t="s">
        <v>19</v>
      </c>
      <c r="C5" s="42">
        <v>182700</v>
      </c>
      <c r="D5" s="36">
        <f>ROUND(C5*60%,0)</f>
        <v>109620</v>
      </c>
      <c r="E5" s="36">
        <v>0</v>
      </c>
      <c r="F5" s="36">
        <v>0</v>
      </c>
      <c r="G5" s="36">
        <f>ROUND(SUM(C5+D5)*0.14,0)</f>
        <v>40925</v>
      </c>
      <c r="H5" s="36">
        <f t="shared" ref="H5:H10" si="0">SUM(C5:G5)</f>
        <v>333245</v>
      </c>
      <c r="I5" s="36">
        <v>200</v>
      </c>
      <c r="J5" s="36">
        <v>60000</v>
      </c>
      <c r="K5" s="36">
        <f>ROUND(SUM(C5+D5)*0.1,0)</f>
        <v>29232</v>
      </c>
      <c r="L5" s="36">
        <f>+G5</f>
        <v>40925</v>
      </c>
      <c r="M5" s="36">
        <v>1000</v>
      </c>
      <c r="N5" s="36">
        <v>0</v>
      </c>
      <c r="O5" s="36">
        <f t="shared" ref="O5:O12" si="1">SUM(I5:N5)</f>
        <v>131357</v>
      </c>
      <c r="P5" s="37">
        <f t="shared" ref="P5:P12" si="2">+H5-O5</f>
        <v>201888</v>
      </c>
    </row>
    <row r="6" spans="1:17" ht="27.75" customHeight="1" x14ac:dyDescent="0.2">
      <c r="A6" s="11" t="s">
        <v>33</v>
      </c>
      <c r="B6" s="41" t="s">
        <v>34</v>
      </c>
      <c r="C6" s="36">
        <v>130600</v>
      </c>
      <c r="D6" s="36">
        <f>ROUND(C6*60%,0)</f>
        <v>78360</v>
      </c>
      <c r="E6" s="36">
        <f>3600*160%</f>
        <v>5760</v>
      </c>
      <c r="F6" s="36">
        <f>ROUND(C6*20/100,0)</f>
        <v>26120</v>
      </c>
      <c r="G6" s="36">
        <f>ROUND(SUM(C6+D6)*0.14,0)</f>
        <v>29254</v>
      </c>
      <c r="H6" s="36">
        <f t="shared" si="0"/>
        <v>270094</v>
      </c>
      <c r="I6" s="36">
        <v>200</v>
      </c>
      <c r="J6" s="36">
        <v>35000</v>
      </c>
      <c r="K6" s="36">
        <f>ROUND(SUM(C6+D6)*0.1,0)</f>
        <v>20896</v>
      </c>
      <c r="L6" s="36">
        <f t="shared" ref="L6:L7" si="3">+G6</f>
        <v>29254</v>
      </c>
      <c r="M6" s="36">
        <v>1000</v>
      </c>
      <c r="N6" s="36">
        <f>345+76</f>
        <v>421</v>
      </c>
      <c r="O6" s="36">
        <f t="shared" si="1"/>
        <v>86771</v>
      </c>
      <c r="P6" s="37">
        <f t="shared" si="2"/>
        <v>183323</v>
      </c>
    </row>
    <row r="7" spans="1:17" ht="27.75" customHeight="1" x14ac:dyDescent="0.2">
      <c r="A7" s="43" t="s">
        <v>43</v>
      </c>
      <c r="B7" s="41" t="s">
        <v>34</v>
      </c>
      <c r="C7" s="36">
        <v>119500</v>
      </c>
      <c r="D7" s="36">
        <f>+ROUND(155900*0.6,0)</f>
        <v>93540</v>
      </c>
      <c r="E7" s="36">
        <f>3600*160%</f>
        <v>5760</v>
      </c>
      <c r="F7" s="36">
        <f>+ROUND(155900*0.2,0)</f>
        <v>31180</v>
      </c>
      <c r="G7" s="36">
        <f>+ROUND(SUM(C7+D7)*0.14,0)</f>
        <v>29826</v>
      </c>
      <c r="H7" s="36">
        <f t="shared" si="0"/>
        <v>279806</v>
      </c>
      <c r="I7" s="36">
        <v>200</v>
      </c>
      <c r="J7" s="36">
        <v>50000</v>
      </c>
      <c r="K7" s="36">
        <f>+ROUND(SUM(C7+D7)*0.1,0)</f>
        <v>21304</v>
      </c>
      <c r="L7" s="36">
        <f t="shared" si="3"/>
        <v>29826</v>
      </c>
      <c r="M7" s="36">
        <v>1000</v>
      </c>
      <c r="N7" s="36">
        <v>0</v>
      </c>
      <c r="O7" s="36">
        <f t="shared" si="1"/>
        <v>102330</v>
      </c>
      <c r="P7" s="37">
        <f t="shared" si="2"/>
        <v>177476</v>
      </c>
    </row>
    <row r="8" spans="1:17" ht="27.75" customHeight="1" x14ac:dyDescent="0.2">
      <c r="A8" s="74" t="s">
        <v>50</v>
      </c>
      <c r="B8" s="76" t="s">
        <v>51</v>
      </c>
      <c r="C8" s="36">
        <f>83600*1/30</f>
        <v>2786.6666666666665</v>
      </c>
      <c r="D8" s="36">
        <f>ROUND(C8*60%,0)</f>
        <v>1672</v>
      </c>
      <c r="E8" s="36">
        <f>5760/30</f>
        <v>192</v>
      </c>
      <c r="F8" s="36">
        <f>ROUND(C8*20/100,0)</f>
        <v>557</v>
      </c>
      <c r="G8" s="36">
        <f>ROUND(SUM(C8+D8)*0.14,0)</f>
        <v>624</v>
      </c>
      <c r="H8" s="36">
        <f t="shared" si="0"/>
        <v>5831.6666666666661</v>
      </c>
      <c r="I8" s="36">
        <v>0</v>
      </c>
      <c r="J8" s="36">
        <v>0</v>
      </c>
      <c r="K8" s="36">
        <f>ROUND(SUM(C8+D8)*0.1,0)</f>
        <v>446</v>
      </c>
      <c r="L8" s="36">
        <f t="shared" ref="L8" si="4">+G8</f>
        <v>624</v>
      </c>
      <c r="M8" s="36">
        <v>0</v>
      </c>
      <c r="N8" s="36">
        <v>0</v>
      </c>
      <c r="O8" s="36">
        <f t="shared" ref="O8" si="5">SUM(I8:N8)</f>
        <v>1070</v>
      </c>
      <c r="P8" s="37">
        <f t="shared" ref="P8" si="6">+H8-O8</f>
        <v>4761.6666666666661</v>
      </c>
    </row>
    <row r="9" spans="1:17" ht="27.75" customHeight="1" x14ac:dyDescent="0.2">
      <c r="A9" s="75"/>
      <c r="B9" s="76"/>
      <c r="C9" s="36">
        <v>83600</v>
      </c>
      <c r="D9" s="36">
        <f>ROUND(C9*60%,0)</f>
        <v>50160</v>
      </c>
      <c r="E9" s="36">
        <f t="shared" ref="E9:E14" si="7">3600*160%</f>
        <v>5760</v>
      </c>
      <c r="F9" s="36">
        <f>ROUND(C9*20/100,0)</f>
        <v>16720</v>
      </c>
      <c r="G9" s="36">
        <f>ROUND(SUM(C9+D9)*0.14,0)</f>
        <v>18726</v>
      </c>
      <c r="H9" s="36">
        <f t="shared" si="0"/>
        <v>174966</v>
      </c>
      <c r="I9" s="36">
        <v>200</v>
      </c>
      <c r="J9" s="36">
        <v>0</v>
      </c>
      <c r="K9" s="36">
        <f>ROUND(SUM(C9+D9)*0.1,0)</f>
        <v>13376</v>
      </c>
      <c r="L9" s="36">
        <f t="shared" ref="L9" si="8">+G9</f>
        <v>18726</v>
      </c>
      <c r="M9" s="36">
        <v>1000</v>
      </c>
      <c r="N9" s="36">
        <v>0</v>
      </c>
      <c r="O9" s="36">
        <f t="shared" ref="O9" si="9">SUM(I9:N9)</f>
        <v>33302</v>
      </c>
      <c r="P9" s="37">
        <f t="shared" ref="P9" si="10">+H9-O9</f>
        <v>141664</v>
      </c>
    </row>
    <row r="10" spans="1:17" ht="27.75" customHeight="1" x14ac:dyDescent="0.2">
      <c r="A10" s="43" t="s">
        <v>26</v>
      </c>
      <c r="B10" s="41" t="s">
        <v>22</v>
      </c>
      <c r="C10" s="36">
        <v>61300</v>
      </c>
      <c r="D10" s="36">
        <f t="shared" ref="D10:D12" si="11">ROUND(C10*60%,0)</f>
        <v>36780</v>
      </c>
      <c r="E10" s="36">
        <f t="shared" si="7"/>
        <v>5760</v>
      </c>
      <c r="F10" s="36">
        <f>ROUND(C10*20/100,0)</f>
        <v>12260</v>
      </c>
      <c r="G10" s="36">
        <f>ROUND(SUM(C10+D10)*0.14,0)</f>
        <v>13731</v>
      </c>
      <c r="H10" s="36">
        <f t="shared" si="0"/>
        <v>129831</v>
      </c>
      <c r="I10" s="36">
        <v>200</v>
      </c>
      <c r="J10" s="36">
        <v>0</v>
      </c>
      <c r="K10" s="36">
        <f>ROUND(SUM(C10+D10)*0.1,0)</f>
        <v>9808</v>
      </c>
      <c r="L10" s="36">
        <f>+G10</f>
        <v>13731</v>
      </c>
      <c r="M10" s="36">
        <v>650</v>
      </c>
      <c r="N10" s="36">
        <v>0</v>
      </c>
      <c r="O10" s="36">
        <f t="shared" si="1"/>
        <v>24389</v>
      </c>
      <c r="P10" s="37">
        <f t="shared" si="2"/>
        <v>105442</v>
      </c>
    </row>
    <row r="11" spans="1:17" ht="27.75" customHeight="1" x14ac:dyDescent="0.2">
      <c r="A11" s="43" t="s">
        <v>32</v>
      </c>
      <c r="B11" s="41" t="s">
        <v>22</v>
      </c>
      <c r="C11" s="36">
        <v>59500</v>
      </c>
      <c r="D11" s="36">
        <f t="shared" si="11"/>
        <v>35700</v>
      </c>
      <c r="E11" s="36">
        <f t="shared" si="7"/>
        <v>5760</v>
      </c>
      <c r="F11" s="36">
        <f t="shared" ref="F11:F12" si="12">ROUND(C11*20/100,0)</f>
        <v>11900</v>
      </c>
      <c r="G11" s="36">
        <f t="shared" ref="G11" si="13">ROUND(SUM(C11+D11)*0.14,0)</f>
        <v>13328</v>
      </c>
      <c r="H11" s="36">
        <f t="shared" ref="H11" si="14">SUM(C11:G11)</f>
        <v>126188</v>
      </c>
      <c r="I11" s="36">
        <v>200</v>
      </c>
      <c r="J11" s="36">
        <v>5000</v>
      </c>
      <c r="K11" s="36">
        <f t="shared" ref="K11" si="15">ROUND(SUM(C11+D11)*0.1,0)</f>
        <v>9520</v>
      </c>
      <c r="L11" s="36">
        <f t="shared" ref="L11" si="16">+G11</f>
        <v>13328</v>
      </c>
      <c r="M11" s="36">
        <v>650</v>
      </c>
      <c r="N11" s="36">
        <v>0</v>
      </c>
      <c r="O11" s="36">
        <f t="shared" si="1"/>
        <v>28698</v>
      </c>
      <c r="P11" s="37">
        <f t="shared" si="2"/>
        <v>97490</v>
      </c>
    </row>
    <row r="12" spans="1:17" ht="27.75" customHeight="1" x14ac:dyDescent="0.2">
      <c r="A12" s="11" t="s">
        <v>32</v>
      </c>
      <c r="B12" s="41" t="s">
        <v>22</v>
      </c>
      <c r="C12" s="36">
        <v>59500</v>
      </c>
      <c r="D12" s="36">
        <f t="shared" si="11"/>
        <v>35700</v>
      </c>
      <c r="E12" s="44">
        <f t="shared" si="7"/>
        <v>5760</v>
      </c>
      <c r="F12" s="36">
        <f t="shared" si="12"/>
        <v>11900</v>
      </c>
      <c r="G12" s="36">
        <f t="shared" ref="G12" si="17">ROUND(SUM(C12+D12)*0.14,0)</f>
        <v>13328</v>
      </c>
      <c r="H12" s="36">
        <f t="shared" ref="H12" si="18">SUM(C12:G12)</f>
        <v>126188</v>
      </c>
      <c r="I12" s="36">
        <v>200</v>
      </c>
      <c r="J12" s="36">
        <v>0</v>
      </c>
      <c r="K12" s="36">
        <f t="shared" ref="K12" si="19">ROUND(SUM(C12+D12)*0.1,0)</f>
        <v>9520</v>
      </c>
      <c r="L12" s="36">
        <f t="shared" ref="L12" si="20">+G12</f>
        <v>13328</v>
      </c>
      <c r="M12" s="36">
        <v>650</v>
      </c>
      <c r="N12" s="36">
        <v>0</v>
      </c>
      <c r="O12" s="36">
        <f t="shared" si="1"/>
        <v>23698</v>
      </c>
      <c r="P12" s="37">
        <f t="shared" si="2"/>
        <v>102490</v>
      </c>
    </row>
    <row r="13" spans="1:17" s="10" customFormat="1" ht="27.75" customHeight="1" x14ac:dyDescent="0.2">
      <c r="A13" s="45" t="s">
        <v>32</v>
      </c>
      <c r="B13" s="46" t="s">
        <v>22</v>
      </c>
      <c r="C13" s="44">
        <v>56100</v>
      </c>
      <c r="D13" s="44">
        <f t="shared" ref="D13" si="21">ROUND(C13*60%,0)</f>
        <v>33660</v>
      </c>
      <c r="E13" s="44">
        <f t="shared" si="7"/>
        <v>5760</v>
      </c>
      <c r="F13" s="44">
        <f t="shared" ref="F13" si="22">ROUND(C13*20/100,0)</f>
        <v>11220</v>
      </c>
      <c r="G13" s="44">
        <f t="shared" ref="G13" si="23">ROUND(SUM(C13+D13)*0.14,0)</f>
        <v>12566</v>
      </c>
      <c r="H13" s="44">
        <f t="shared" ref="H13" si="24">SUM(C13:G13)</f>
        <v>119306</v>
      </c>
      <c r="I13" s="44">
        <v>200</v>
      </c>
      <c r="J13" s="44">
        <v>0</v>
      </c>
      <c r="K13" s="44">
        <f t="shared" ref="K13:K14" si="25">ROUND(SUM(C13+D13)*0.1,0)</f>
        <v>8976</v>
      </c>
      <c r="L13" s="44">
        <f t="shared" ref="L13" si="26">+G13</f>
        <v>12566</v>
      </c>
      <c r="M13" s="44">
        <v>650</v>
      </c>
      <c r="N13" s="44">
        <v>0</v>
      </c>
      <c r="O13" s="44">
        <f t="shared" ref="O13" si="27">SUM(I13:N13)</f>
        <v>22392</v>
      </c>
      <c r="P13" s="47">
        <f t="shared" ref="P13" si="28">+H13-O13</f>
        <v>96914</v>
      </c>
      <c r="Q13" s="29"/>
    </row>
    <row r="14" spans="1:17" s="48" customFormat="1" ht="27.75" customHeight="1" x14ac:dyDescent="0.25">
      <c r="A14" s="43" t="s">
        <v>32</v>
      </c>
      <c r="B14" s="41" t="s">
        <v>22</v>
      </c>
      <c r="C14" s="36">
        <v>65000</v>
      </c>
      <c r="D14" s="36">
        <f t="shared" ref="D14" si="29">ROUND(C14*60%,0)</f>
        <v>39000</v>
      </c>
      <c r="E14" s="36">
        <f t="shared" si="7"/>
        <v>5760</v>
      </c>
      <c r="F14" s="36">
        <f t="shared" ref="F14" si="30">ROUND(C14*20/100,0)</f>
        <v>13000</v>
      </c>
      <c r="G14" s="36">
        <f t="shared" ref="G14" si="31">ROUND(SUM(C14+D14)*0.14,0)</f>
        <v>14560</v>
      </c>
      <c r="H14" s="36">
        <f t="shared" ref="H14" si="32">SUM(C14:G14)</f>
        <v>137320</v>
      </c>
      <c r="I14" s="36">
        <v>200</v>
      </c>
      <c r="J14" s="36">
        <v>0</v>
      </c>
      <c r="K14" s="36">
        <f t="shared" si="25"/>
        <v>10400</v>
      </c>
      <c r="L14" s="36">
        <f t="shared" ref="L14" si="33">+G14</f>
        <v>14560</v>
      </c>
      <c r="M14" s="36">
        <v>650</v>
      </c>
      <c r="N14" s="36">
        <v>0</v>
      </c>
      <c r="O14" s="36">
        <f t="shared" ref="O14" si="34">SUM(I14:N14)</f>
        <v>25810</v>
      </c>
      <c r="P14" s="37">
        <f t="shared" ref="P14" si="35">+H14-O14</f>
        <v>111510</v>
      </c>
      <c r="Q14" s="4"/>
    </row>
    <row r="15" spans="1:17" ht="27.75" customHeight="1" x14ac:dyDescent="0.2">
      <c r="A15" s="11" t="s">
        <v>25</v>
      </c>
      <c r="B15" s="41" t="s">
        <v>10</v>
      </c>
      <c r="C15" s="36">
        <v>49000</v>
      </c>
      <c r="D15" s="36">
        <f t="shared" ref="D15:D25" si="36">ROUND(C15*60%,0)</f>
        <v>29400</v>
      </c>
      <c r="E15" s="36">
        <f>1800*160%</f>
        <v>2880</v>
      </c>
      <c r="F15" s="36">
        <f t="shared" ref="F15:F25" si="37">ROUND(C15*20/100,0)</f>
        <v>9800</v>
      </c>
      <c r="G15" s="36">
        <f t="shared" ref="G15:G25" si="38">ROUND(SUM(C15+D15)*0.14,0)</f>
        <v>10976</v>
      </c>
      <c r="H15" s="36">
        <f>SUM(C15:G15)</f>
        <v>102056</v>
      </c>
      <c r="I15" s="36">
        <v>200</v>
      </c>
      <c r="J15" s="36">
        <v>0</v>
      </c>
      <c r="K15" s="36">
        <f>ROUND(SUM(C15+D15)*0.1,0)</f>
        <v>7840</v>
      </c>
      <c r="L15" s="36">
        <f>+G15</f>
        <v>10976</v>
      </c>
      <c r="M15" s="36">
        <v>650</v>
      </c>
      <c r="N15" s="36">
        <v>0</v>
      </c>
      <c r="O15" s="36">
        <f t="shared" ref="O15:O25" si="39">SUM(I15:N15)</f>
        <v>19666</v>
      </c>
      <c r="P15" s="37">
        <f t="shared" ref="P15:P25" si="40">+H15-O15</f>
        <v>82390</v>
      </c>
      <c r="Q15" s="49"/>
    </row>
    <row r="16" spans="1:17" ht="27.75" customHeight="1" x14ac:dyDescent="0.2">
      <c r="A16" s="11" t="s">
        <v>25</v>
      </c>
      <c r="B16" s="41" t="s">
        <v>10</v>
      </c>
      <c r="C16" s="36">
        <v>49000</v>
      </c>
      <c r="D16" s="36">
        <f t="shared" si="36"/>
        <v>29400</v>
      </c>
      <c r="E16" s="36">
        <f t="shared" ref="E16:E25" si="41">1800*160%</f>
        <v>2880</v>
      </c>
      <c r="F16" s="36">
        <f t="shared" si="37"/>
        <v>9800</v>
      </c>
      <c r="G16" s="36">
        <f t="shared" si="38"/>
        <v>10976</v>
      </c>
      <c r="H16" s="36">
        <f>SUM(C16:G16)</f>
        <v>102056</v>
      </c>
      <c r="I16" s="36">
        <v>200</v>
      </c>
      <c r="J16" s="36">
        <v>0</v>
      </c>
      <c r="K16" s="36">
        <f>ROUND(SUM(C16+D16)*0.1,0)</f>
        <v>7840</v>
      </c>
      <c r="L16" s="36">
        <f>+G16</f>
        <v>10976</v>
      </c>
      <c r="M16" s="36">
        <v>650</v>
      </c>
      <c r="N16" s="36">
        <v>0</v>
      </c>
      <c r="O16" s="36">
        <f t="shared" si="39"/>
        <v>19666</v>
      </c>
      <c r="P16" s="37">
        <f t="shared" si="40"/>
        <v>82390</v>
      </c>
    </row>
    <row r="17" spans="1:17" ht="27.75" customHeight="1" x14ac:dyDescent="0.2">
      <c r="A17" s="50" t="s">
        <v>35</v>
      </c>
      <c r="B17" s="41" t="s">
        <v>12</v>
      </c>
      <c r="C17" s="36">
        <v>37600</v>
      </c>
      <c r="D17" s="36">
        <f t="shared" si="36"/>
        <v>22560</v>
      </c>
      <c r="E17" s="36">
        <f t="shared" si="41"/>
        <v>2880</v>
      </c>
      <c r="F17" s="36">
        <f t="shared" si="37"/>
        <v>7520</v>
      </c>
      <c r="G17" s="36">
        <f t="shared" si="38"/>
        <v>8422</v>
      </c>
      <c r="H17" s="36">
        <f>SUM(C17:G17)</f>
        <v>78982</v>
      </c>
      <c r="I17" s="36">
        <v>200</v>
      </c>
      <c r="J17" s="36">
        <v>0</v>
      </c>
      <c r="K17" s="36">
        <f t="shared" ref="K17" si="42">ROUND(SUM(C17+D17)*0.1,0)</f>
        <v>6016</v>
      </c>
      <c r="L17" s="36">
        <f t="shared" ref="L17" si="43">+G17</f>
        <v>8422</v>
      </c>
      <c r="M17" s="36">
        <v>450</v>
      </c>
      <c r="N17" s="36">
        <v>350</v>
      </c>
      <c r="O17" s="36">
        <f t="shared" si="39"/>
        <v>15438</v>
      </c>
      <c r="P17" s="37">
        <f t="shared" si="40"/>
        <v>63544</v>
      </c>
    </row>
    <row r="18" spans="1:17" ht="27.75" customHeight="1" x14ac:dyDescent="0.2">
      <c r="A18" s="11" t="s">
        <v>36</v>
      </c>
      <c r="B18" s="41" t="s">
        <v>11</v>
      </c>
      <c r="C18" s="36">
        <v>30100</v>
      </c>
      <c r="D18" s="36">
        <f t="shared" si="36"/>
        <v>18060</v>
      </c>
      <c r="E18" s="36">
        <f t="shared" si="41"/>
        <v>2880</v>
      </c>
      <c r="F18" s="36">
        <f t="shared" si="37"/>
        <v>6020</v>
      </c>
      <c r="G18" s="36">
        <f t="shared" si="38"/>
        <v>6742</v>
      </c>
      <c r="H18" s="36">
        <f t="shared" ref="H18:H22" si="44">SUM(C18:G18)</f>
        <v>63802</v>
      </c>
      <c r="I18" s="36">
        <v>200</v>
      </c>
      <c r="J18" s="36">
        <v>0</v>
      </c>
      <c r="K18" s="36">
        <f t="shared" ref="K18:K25" si="45">ROUND(SUM(C18+D18)*0.1,0)</f>
        <v>4816</v>
      </c>
      <c r="L18" s="36">
        <f t="shared" ref="L18:L25" si="46">+G18</f>
        <v>6742</v>
      </c>
      <c r="M18" s="36">
        <v>250</v>
      </c>
      <c r="N18" s="36">
        <v>0</v>
      </c>
      <c r="O18" s="36">
        <f t="shared" si="39"/>
        <v>12008</v>
      </c>
      <c r="P18" s="37">
        <f t="shared" si="40"/>
        <v>51794</v>
      </c>
    </row>
    <row r="19" spans="1:17" ht="27.75" customHeight="1" x14ac:dyDescent="0.2">
      <c r="A19" s="11" t="s">
        <v>37</v>
      </c>
      <c r="B19" s="41" t="s">
        <v>11</v>
      </c>
      <c r="C19" s="36">
        <v>30100</v>
      </c>
      <c r="D19" s="36">
        <f t="shared" si="36"/>
        <v>18060</v>
      </c>
      <c r="E19" s="36">
        <f t="shared" si="41"/>
        <v>2880</v>
      </c>
      <c r="F19" s="36">
        <f t="shared" si="37"/>
        <v>6020</v>
      </c>
      <c r="G19" s="36">
        <f t="shared" si="38"/>
        <v>6742</v>
      </c>
      <c r="H19" s="36">
        <f t="shared" si="44"/>
        <v>63802</v>
      </c>
      <c r="I19" s="36">
        <v>200</v>
      </c>
      <c r="J19" s="36">
        <v>0</v>
      </c>
      <c r="K19" s="36">
        <f t="shared" si="45"/>
        <v>4816</v>
      </c>
      <c r="L19" s="36">
        <f t="shared" si="46"/>
        <v>6742</v>
      </c>
      <c r="M19" s="36">
        <v>250</v>
      </c>
      <c r="N19" s="36">
        <v>0</v>
      </c>
      <c r="O19" s="36">
        <f t="shared" si="39"/>
        <v>12008</v>
      </c>
      <c r="P19" s="37">
        <f t="shared" si="40"/>
        <v>51794</v>
      </c>
      <c r="Q19" s="49"/>
    </row>
    <row r="20" spans="1:17" ht="27.75" customHeight="1" x14ac:dyDescent="0.2">
      <c r="A20" s="11" t="s">
        <v>36</v>
      </c>
      <c r="B20" s="41" t="s">
        <v>11</v>
      </c>
      <c r="C20" s="36">
        <v>30100</v>
      </c>
      <c r="D20" s="36">
        <f t="shared" si="36"/>
        <v>18060</v>
      </c>
      <c r="E20" s="36">
        <f t="shared" si="41"/>
        <v>2880</v>
      </c>
      <c r="F20" s="36">
        <f t="shared" si="37"/>
        <v>6020</v>
      </c>
      <c r="G20" s="36">
        <f t="shared" si="38"/>
        <v>6742</v>
      </c>
      <c r="H20" s="36">
        <f t="shared" si="44"/>
        <v>63802</v>
      </c>
      <c r="I20" s="36">
        <v>200</v>
      </c>
      <c r="J20" s="36">
        <v>0</v>
      </c>
      <c r="K20" s="36">
        <f t="shared" si="45"/>
        <v>4816</v>
      </c>
      <c r="L20" s="36">
        <f t="shared" si="46"/>
        <v>6742</v>
      </c>
      <c r="M20" s="36">
        <v>250</v>
      </c>
      <c r="N20" s="36">
        <v>0</v>
      </c>
      <c r="O20" s="36">
        <f t="shared" si="39"/>
        <v>12008</v>
      </c>
      <c r="P20" s="37">
        <f t="shared" si="40"/>
        <v>51794</v>
      </c>
    </row>
    <row r="21" spans="1:17" ht="44.25" customHeight="1" x14ac:dyDescent="0.2">
      <c r="A21" s="11" t="s">
        <v>36</v>
      </c>
      <c r="B21" s="41" t="s">
        <v>11</v>
      </c>
      <c r="C21" s="36">
        <v>30100</v>
      </c>
      <c r="D21" s="36">
        <f t="shared" si="36"/>
        <v>18060</v>
      </c>
      <c r="E21" s="36">
        <f t="shared" si="41"/>
        <v>2880</v>
      </c>
      <c r="F21" s="36">
        <f t="shared" si="37"/>
        <v>6020</v>
      </c>
      <c r="G21" s="36">
        <f t="shared" si="38"/>
        <v>6742</v>
      </c>
      <c r="H21" s="36">
        <f t="shared" si="44"/>
        <v>63802</v>
      </c>
      <c r="I21" s="36">
        <v>200</v>
      </c>
      <c r="J21" s="36">
        <v>0</v>
      </c>
      <c r="K21" s="36">
        <f t="shared" si="45"/>
        <v>4816</v>
      </c>
      <c r="L21" s="36">
        <f t="shared" si="46"/>
        <v>6742</v>
      </c>
      <c r="M21" s="36">
        <v>250</v>
      </c>
      <c r="N21" s="36">
        <v>1054</v>
      </c>
      <c r="O21" s="36">
        <f t="shared" si="39"/>
        <v>13062</v>
      </c>
      <c r="P21" s="37">
        <f t="shared" si="40"/>
        <v>50740</v>
      </c>
    </row>
    <row r="22" spans="1:17" ht="37.5" customHeight="1" x14ac:dyDescent="0.2">
      <c r="A22" s="11" t="s">
        <v>36</v>
      </c>
      <c r="B22" s="41" t="s">
        <v>11</v>
      </c>
      <c r="C22" s="36">
        <v>30100</v>
      </c>
      <c r="D22" s="36">
        <f t="shared" si="36"/>
        <v>18060</v>
      </c>
      <c r="E22" s="36">
        <f t="shared" si="41"/>
        <v>2880</v>
      </c>
      <c r="F22" s="36">
        <f t="shared" si="37"/>
        <v>6020</v>
      </c>
      <c r="G22" s="36">
        <f t="shared" si="38"/>
        <v>6742</v>
      </c>
      <c r="H22" s="36">
        <f t="shared" si="44"/>
        <v>63802</v>
      </c>
      <c r="I22" s="36">
        <v>200</v>
      </c>
      <c r="J22" s="36">
        <v>0</v>
      </c>
      <c r="K22" s="36">
        <f t="shared" si="45"/>
        <v>4816</v>
      </c>
      <c r="L22" s="36">
        <f t="shared" si="46"/>
        <v>6742</v>
      </c>
      <c r="M22" s="36">
        <v>250</v>
      </c>
      <c r="N22" s="36">
        <v>0</v>
      </c>
      <c r="O22" s="36">
        <f t="shared" si="39"/>
        <v>12008</v>
      </c>
      <c r="P22" s="37">
        <f t="shared" si="40"/>
        <v>51794</v>
      </c>
    </row>
    <row r="23" spans="1:17" ht="27.75" customHeight="1" x14ac:dyDescent="0.2">
      <c r="A23" s="43" t="s">
        <v>37</v>
      </c>
      <c r="B23" s="41" t="s">
        <v>11</v>
      </c>
      <c r="C23" s="36">
        <v>30100</v>
      </c>
      <c r="D23" s="36">
        <f t="shared" si="36"/>
        <v>18060</v>
      </c>
      <c r="E23" s="36">
        <f t="shared" si="41"/>
        <v>2880</v>
      </c>
      <c r="F23" s="36">
        <f t="shared" si="37"/>
        <v>6020</v>
      </c>
      <c r="G23" s="36">
        <f t="shared" si="38"/>
        <v>6742</v>
      </c>
      <c r="H23" s="36">
        <f>SUM(C23:G23)</f>
        <v>63802</v>
      </c>
      <c r="I23" s="36">
        <v>200</v>
      </c>
      <c r="J23" s="36">
        <v>0</v>
      </c>
      <c r="K23" s="36">
        <f t="shared" si="45"/>
        <v>4816</v>
      </c>
      <c r="L23" s="36">
        <f t="shared" si="46"/>
        <v>6742</v>
      </c>
      <c r="M23" s="36">
        <v>250</v>
      </c>
      <c r="N23" s="36">
        <v>0</v>
      </c>
      <c r="O23" s="36">
        <f t="shared" si="39"/>
        <v>12008</v>
      </c>
      <c r="P23" s="37">
        <f t="shared" si="40"/>
        <v>51794</v>
      </c>
    </row>
    <row r="24" spans="1:17" ht="27.75" customHeight="1" x14ac:dyDescent="0.2">
      <c r="A24" s="11" t="s">
        <v>23</v>
      </c>
      <c r="B24" s="41" t="s">
        <v>20</v>
      </c>
      <c r="C24" s="36">
        <v>24500</v>
      </c>
      <c r="D24" s="36">
        <f t="shared" si="36"/>
        <v>14700</v>
      </c>
      <c r="E24" s="36">
        <f t="shared" si="41"/>
        <v>2880</v>
      </c>
      <c r="F24" s="36">
        <f t="shared" si="37"/>
        <v>4900</v>
      </c>
      <c r="G24" s="36">
        <f t="shared" si="38"/>
        <v>5488</v>
      </c>
      <c r="H24" s="36">
        <f>SUM(C24:G24)</f>
        <v>52468</v>
      </c>
      <c r="I24" s="36">
        <v>200</v>
      </c>
      <c r="J24" s="36">
        <v>0</v>
      </c>
      <c r="K24" s="36">
        <f t="shared" si="45"/>
        <v>3920</v>
      </c>
      <c r="L24" s="36">
        <f t="shared" si="46"/>
        <v>5488</v>
      </c>
      <c r="M24" s="36">
        <v>250</v>
      </c>
      <c r="N24" s="36">
        <v>0</v>
      </c>
      <c r="O24" s="36">
        <f t="shared" si="39"/>
        <v>9858</v>
      </c>
      <c r="P24" s="37">
        <f t="shared" si="40"/>
        <v>42610</v>
      </c>
    </row>
    <row r="25" spans="1:17" ht="27.75" customHeight="1" x14ac:dyDescent="0.2">
      <c r="A25" s="11" t="s">
        <v>23</v>
      </c>
      <c r="B25" s="41" t="s">
        <v>20</v>
      </c>
      <c r="C25" s="36">
        <v>24500</v>
      </c>
      <c r="D25" s="36">
        <f t="shared" si="36"/>
        <v>14700</v>
      </c>
      <c r="E25" s="36">
        <f t="shared" si="41"/>
        <v>2880</v>
      </c>
      <c r="F25" s="36">
        <f t="shared" si="37"/>
        <v>4900</v>
      </c>
      <c r="G25" s="36">
        <f t="shared" si="38"/>
        <v>5488</v>
      </c>
      <c r="H25" s="36">
        <f>SUM(C25:G25)</f>
        <v>52468</v>
      </c>
      <c r="I25" s="36">
        <v>200</v>
      </c>
      <c r="J25" s="36">
        <v>0</v>
      </c>
      <c r="K25" s="36">
        <f t="shared" si="45"/>
        <v>3920</v>
      </c>
      <c r="L25" s="36">
        <f t="shared" si="46"/>
        <v>5488</v>
      </c>
      <c r="M25" s="36">
        <v>250</v>
      </c>
      <c r="N25" s="36">
        <v>0</v>
      </c>
      <c r="O25" s="36">
        <f t="shared" si="39"/>
        <v>9858</v>
      </c>
      <c r="P25" s="37">
        <f t="shared" si="40"/>
        <v>42610</v>
      </c>
    </row>
    <row r="26" spans="1:17" ht="21.95" customHeight="1" thickBot="1" x14ac:dyDescent="0.25">
      <c r="A26" s="70"/>
      <c r="B26" s="71"/>
      <c r="C26" s="30">
        <f>+SUM(C5:C25)</f>
        <v>1185786.6666666667</v>
      </c>
      <c r="D26" s="30">
        <f t="shared" ref="D26:O26" si="47">+SUM(D5:D25)</f>
        <v>733312</v>
      </c>
      <c r="E26" s="30">
        <f t="shared" si="47"/>
        <v>77952</v>
      </c>
      <c r="F26" s="30">
        <f t="shared" si="47"/>
        <v>207897</v>
      </c>
      <c r="G26" s="30">
        <f t="shared" si="47"/>
        <v>268670</v>
      </c>
      <c r="H26" s="30">
        <f t="shared" si="47"/>
        <v>2473617.6666666665</v>
      </c>
      <c r="I26" s="30">
        <f>+SUM(I5:I25)</f>
        <v>4000</v>
      </c>
      <c r="J26" s="30">
        <f t="shared" si="47"/>
        <v>150000</v>
      </c>
      <c r="K26" s="30">
        <f t="shared" si="47"/>
        <v>191910</v>
      </c>
      <c r="L26" s="30">
        <f t="shared" si="47"/>
        <v>268670</v>
      </c>
      <c r="M26" s="30">
        <f t="shared" si="47"/>
        <v>11000</v>
      </c>
      <c r="N26" s="30">
        <f t="shared" si="47"/>
        <v>1825</v>
      </c>
      <c r="O26" s="30">
        <f t="shared" si="47"/>
        <v>627405</v>
      </c>
      <c r="P26" s="34">
        <f>+SUM(P5:P25)</f>
        <v>1846212.6666666665</v>
      </c>
    </row>
    <row r="27" spans="1:17" ht="21.95" customHeight="1" x14ac:dyDescent="0.2">
      <c r="K27" s="35">
        <f>+K26+L26+'Faculty '!L38+'Faculty '!M38</f>
        <v>2225903</v>
      </c>
      <c r="N27" s="35"/>
    </row>
    <row r="28" spans="1:17" ht="21.95" customHeight="1" x14ac:dyDescent="0.2">
      <c r="N28" s="5"/>
    </row>
    <row r="29" spans="1:17" ht="21.95" customHeight="1" x14ac:dyDescent="0.2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</sheetData>
  <mergeCells count="5">
    <mergeCell ref="B1:K1"/>
    <mergeCell ref="A26:B26"/>
    <mergeCell ref="A3:P3"/>
    <mergeCell ref="A8:A9"/>
    <mergeCell ref="B8:B9"/>
  </mergeCells>
  <printOptions horizontalCentered="1"/>
  <pageMargins left="0" right="0" top="0" bottom="0" header="0" footer="0"/>
  <pageSetup paperSize="8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Faculty </vt:lpstr>
      <vt:lpstr>Non teaching Staff</vt:lpstr>
      <vt:lpstr>'Faculty '!Print_Area</vt:lpstr>
      <vt:lpstr>'Non teaching Staff'!Print_Area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iipe</dc:creator>
  <cp:lastModifiedBy>IIPE</cp:lastModifiedBy>
  <cp:lastPrinted>2026-07-31T06:41:55Z</cp:lastPrinted>
  <dcterms:created xsi:type="dcterms:W3CDTF">2020-04-30T06:33:09Z</dcterms:created>
  <dcterms:modified xsi:type="dcterms:W3CDTF">2026-08-04T09:31:43Z</dcterms:modified>
</cp:coreProperties>
</file>